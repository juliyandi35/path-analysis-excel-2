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120824 (Transforming Path Analysis Data)\"/>
    </mc:Choice>
  </mc:AlternateContent>
  <xr:revisionPtr revIDLastSave="0" documentId="13_ncr:1_{0CDD9A2B-50ED-48C1-AB57-08A50252760A}" xr6:coauthVersionLast="47" xr6:coauthVersionMax="47" xr10:uidLastSave="{00000000-0000-0000-0000-000000000000}"/>
  <bookViews>
    <workbookView xWindow="-110" yWindow="-110" windowWidth="19420" windowHeight="10300" xr2:uid="{DF2A7A51-AC79-4EBF-90C5-8F5B40959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D573" i="1"/>
  <c r="D572" i="1" s="1"/>
  <c r="D571" i="1" s="1"/>
  <c r="D570" i="1" s="1"/>
  <c r="D569" i="1" s="1"/>
  <c r="D568" i="1" s="1"/>
  <c r="H571" i="1"/>
  <c r="H570" i="1" s="1"/>
  <c r="H569" i="1" s="1"/>
  <c r="H568" i="1" s="1"/>
  <c r="D562" i="1"/>
  <c r="D561" i="1" s="1"/>
  <c r="D560" i="1" s="1"/>
  <c r="D559" i="1" s="1"/>
  <c r="D558" i="1" s="1"/>
  <c r="H560" i="1"/>
  <c r="H559" i="1" s="1"/>
  <c r="H558" i="1" s="1"/>
  <c r="D552" i="1"/>
  <c r="D518" i="1"/>
  <c r="D517" i="1" s="1"/>
  <c r="D516" i="1" s="1"/>
  <c r="D515" i="1" s="1"/>
  <c r="D514" i="1" s="1"/>
  <c r="H516" i="1"/>
  <c r="H515" i="1" s="1"/>
  <c r="H514" i="1" s="1"/>
  <c r="D495" i="1"/>
  <c r="D494" i="1" s="1"/>
  <c r="D493" i="1" s="1"/>
  <c r="D492" i="1" s="1"/>
  <c r="D491" i="1" s="1"/>
  <c r="D490" i="1" s="1"/>
  <c r="H493" i="1"/>
  <c r="H492" i="1"/>
  <c r="H491" i="1" s="1"/>
  <c r="H490" i="1" s="1"/>
  <c r="H483" i="1"/>
  <c r="D483" i="1"/>
  <c r="D482" i="1" s="1"/>
  <c r="D481" i="1" s="1"/>
  <c r="D480" i="1" s="1"/>
  <c r="D479" i="1" s="1"/>
  <c r="D478" i="1" s="1"/>
  <c r="H481" i="1"/>
  <c r="H480" i="1" s="1"/>
  <c r="H479" i="1" s="1"/>
  <c r="H478" i="1" s="1"/>
  <c r="D472" i="1"/>
  <c r="D471" i="1" s="1"/>
  <c r="D470" i="1" s="1"/>
  <c r="D469" i="1" s="1"/>
  <c r="D468" i="1" s="1"/>
  <c r="H470" i="1"/>
  <c r="H469" i="1" s="1"/>
  <c r="H468" i="1" s="1"/>
  <c r="D462" i="1"/>
  <c r="D461" i="1" s="1"/>
  <c r="D460" i="1" s="1"/>
  <c r="D459" i="1" s="1"/>
  <c r="D458" i="1" s="1"/>
  <c r="D457" i="1" s="1"/>
  <c r="H460" i="1"/>
  <c r="H459" i="1" s="1"/>
  <c r="H458" i="1" s="1"/>
  <c r="H457" i="1" s="1"/>
  <c r="D451" i="1"/>
  <c r="D450" i="1" s="1"/>
  <c r="D449" i="1" s="1"/>
  <c r="D448" i="1" s="1"/>
  <c r="D447" i="1" s="1"/>
  <c r="D446" i="1" s="1"/>
  <c r="H449" i="1"/>
  <c r="H448" i="1" s="1"/>
  <c r="H447" i="1" s="1"/>
  <c r="H446" i="1" s="1"/>
  <c r="D440" i="1"/>
  <c r="D439" i="1" s="1"/>
  <c r="D438" i="1" s="1"/>
  <c r="D437" i="1" s="1"/>
  <c r="D436" i="1" s="1"/>
  <c r="D435" i="1" s="1"/>
  <c r="H438" i="1"/>
  <c r="H437" i="1"/>
  <c r="H436" i="1" s="1"/>
  <c r="H435" i="1" s="1"/>
  <c r="H429" i="1"/>
  <c r="D429" i="1"/>
  <c r="H423" i="1"/>
  <c r="D423" i="1"/>
  <c r="D422" i="1"/>
  <c r="D421" i="1" s="1"/>
  <c r="D420" i="1" s="1"/>
  <c r="D419" i="1" s="1"/>
  <c r="D418" i="1" s="1"/>
  <c r="H421" i="1"/>
  <c r="H420" i="1" s="1"/>
  <c r="H419" i="1" s="1"/>
  <c r="H418" i="1" s="1"/>
  <c r="D412" i="1"/>
  <c r="D411" i="1" s="1"/>
  <c r="D410" i="1" s="1"/>
  <c r="D409" i="1" s="1"/>
  <c r="D408" i="1" s="1"/>
  <c r="D407" i="1" s="1"/>
  <c r="H410" i="1"/>
  <c r="H409" i="1" s="1"/>
  <c r="H408" i="1" s="1"/>
  <c r="H407" i="1" s="1"/>
  <c r="H399" i="1"/>
  <c r="D399" i="1"/>
  <c r="D398" i="1" s="1"/>
  <c r="D397" i="1" s="1"/>
  <c r="D396" i="1" s="1"/>
  <c r="D395" i="1" s="1"/>
  <c r="D394" i="1" s="1"/>
  <c r="H398" i="1"/>
  <c r="H397" i="1" s="1"/>
  <c r="H396" i="1" s="1"/>
  <c r="H395" i="1" s="1"/>
  <c r="H394" i="1" s="1"/>
  <c r="D389" i="1"/>
  <c r="D388" i="1" s="1"/>
  <c r="D387" i="1" s="1"/>
  <c r="D386" i="1" s="1"/>
  <c r="D385" i="1" s="1"/>
  <c r="D384" i="1" s="1"/>
  <c r="H388" i="1"/>
  <c r="H387" i="1" s="1"/>
  <c r="H386" i="1" s="1"/>
  <c r="H385" i="1" s="1"/>
  <c r="H384" i="1" s="1"/>
  <c r="H379" i="1"/>
  <c r="H378" i="1" s="1"/>
  <c r="H377" i="1" s="1"/>
  <c r="H376" i="1" s="1"/>
  <c r="H375" i="1" s="1"/>
  <c r="H374" i="1" s="1"/>
  <c r="D379" i="1"/>
  <c r="D378" i="1" s="1"/>
  <c r="D377" i="1" s="1"/>
  <c r="D376" i="1" s="1"/>
  <c r="D375" i="1" s="1"/>
  <c r="D374" i="1" s="1"/>
  <c r="H368" i="1"/>
  <c r="H367" i="1" s="1"/>
  <c r="H366" i="1" s="1"/>
  <c r="H365" i="1" s="1"/>
  <c r="H364" i="1" s="1"/>
  <c r="H363" i="1" s="1"/>
  <c r="D368" i="1"/>
  <c r="D367" i="1" s="1"/>
  <c r="D366" i="1" s="1"/>
  <c r="D365" i="1" s="1"/>
  <c r="D364" i="1" s="1"/>
  <c r="D363" i="1" s="1"/>
  <c r="D355" i="1"/>
  <c r="D354" i="1" s="1"/>
  <c r="D353" i="1" s="1"/>
  <c r="D352" i="1" s="1"/>
  <c r="D351" i="1" s="1"/>
  <c r="D350" i="1" s="1"/>
  <c r="H354" i="1"/>
  <c r="H353" i="1" s="1"/>
  <c r="H352" i="1" s="1"/>
  <c r="H351" i="1" s="1"/>
  <c r="H350" i="1" s="1"/>
  <c r="H344" i="1"/>
  <c r="D344" i="1"/>
  <c r="D343" i="1" s="1"/>
  <c r="D342" i="1" s="1"/>
  <c r="D341" i="1" s="1"/>
  <c r="H343" i="1"/>
  <c r="H342" i="1" s="1"/>
  <c r="H341" i="1" s="1"/>
  <c r="D335" i="1"/>
  <c r="D334" i="1" s="1"/>
  <c r="D333" i="1" s="1"/>
  <c r="D332" i="1" s="1"/>
  <c r="D331" i="1" s="1"/>
  <c r="H333" i="1"/>
  <c r="H332" i="1" s="1"/>
  <c r="H331" i="1" s="1"/>
  <c r="D325" i="1"/>
  <c r="D324" i="1" s="1"/>
  <c r="D323" i="1" s="1"/>
  <c r="H323" i="1"/>
  <c r="D317" i="1"/>
  <c r="D316" i="1" s="1"/>
  <c r="D315" i="1" s="1"/>
  <c r="D314" i="1" s="1"/>
  <c r="D313" i="1" s="1"/>
  <c r="D312" i="1" s="1"/>
  <c r="H315" i="1"/>
  <c r="H314" i="1" s="1"/>
  <c r="H313" i="1" s="1"/>
  <c r="H312" i="1" s="1"/>
  <c r="D302" i="1"/>
  <c r="D301" i="1" s="1"/>
  <c r="D300" i="1" s="1"/>
  <c r="D299" i="1" s="1"/>
  <c r="D298" i="1" s="1"/>
  <c r="D297" i="1" s="1"/>
  <c r="H300" i="1"/>
  <c r="H299" i="1" s="1"/>
  <c r="H298" i="1" s="1"/>
  <c r="H297" i="1" s="1"/>
  <c r="D291" i="1"/>
  <c r="D290" i="1" s="1"/>
  <c r="D289" i="1" s="1"/>
  <c r="D288" i="1" s="1"/>
  <c r="D287" i="1" s="1"/>
  <c r="H289" i="1"/>
  <c r="H288" i="1"/>
  <c r="H287" i="1" s="1"/>
  <c r="D276" i="1"/>
  <c r="D275" i="1" s="1"/>
  <c r="D274" i="1" s="1"/>
  <c r="D273" i="1" s="1"/>
  <c r="D272" i="1" s="1"/>
  <c r="D271" i="1" s="1"/>
  <c r="H274" i="1"/>
  <c r="H273" i="1"/>
  <c r="H272" i="1" s="1"/>
  <c r="H271" i="1" s="1"/>
  <c r="D265" i="1"/>
  <c r="D264" i="1"/>
  <c r="D263" i="1" s="1"/>
  <c r="D262" i="1" s="1"/>
  <c r="D261" i="1" s="1"/>
  <c r="D260" i="1" s="1"/>
  <c r="H263" i="1"/>
  <c r="H262" i="1" s="1"/>
  <c r="H261" i="1" s="1"/>
  <c r="H260" i="1" s="1"/>
  <c r="D254" i="1"/>
  <c r="D253" i="1" s="1"/>
  <c r="D252" i="1" s="1"/>
  <c r="H253" i="1"/>
  <c r="H252" i="1" s="1"/>
  <c r="D245" i="1"/>
  <c r="D244" i="1" s="1"/>
  <c r="D243" i="1" s="1"/>
  <c r="D242" i="1" s="1"/>
  <c r="D241" i="1" s="1"/>
  <c r="D240" i="1" s="1"/>
  <c r="H243" i="1"/>
  <c r="H242" i="1" s="1"/>
  <c r="H241" i="1" s="1"/>
  <c r="H240" i="1" s="1"/>
  <c r="D234" i="1"/>
  <c r="D233" i="1" s="1"/>
  <c r="D232" i="1" s="1"/>
  <c r="D231" i="1" s="1"/>
  <c r="D230" i="1" s="1"/>
  <c r="D229" i="1" s="1"/>
  <c r="H232" i="1"/>
  <c r="H231" i="1" s="1"/>
  <c r="H230" i="1" s="1"/>
  <c r="H229" i="1" s="1"/>
  <c r="D223" i="1"/>
  <c r="D218" i="1"/>
  <c r="D217" i="1" s="1"/>
  <c r="D216" i="1" s="1"/>
  <c r="D215" i="1" s="1"/>
  <c r="D214" i="1" s="1"/>
  <c r="D213" i="1" s="1"/>
  <c r="H216" i="1"/>
  <c r="H215" i="1" s="1"/>
  <c r="H214" i="1" s="1"/>
  <c r="H213" i="1" s="1"/>
  <c r="D207" i="1"/>
  <c r="D206" i="1" s="1"/>
  <c r="D205" i="1" s="1"/>
  <c r="D204" i="1" s="1"/>
  <c r="D203" i="1" s="1"/>
  <c r="D202" i="1" s="1"/>
  <c r="H206" i="1"/>
  <c r="H205" i="1" s="1"/>
  <c r="H204" i="1" s="1"/>
  <c r="H203" i="1" s="1"/>
  <c r="H202" i="1" s="1"/>
  <c r="D196" i="1"/>
  <c r="D195" i="1" s="1"/>
  <c r="D194" i="1" s="1"/>
  <c r="D193" i="1" s="1"/>
  <c r="D192" i="1" s="1"/>
  <c r="D191" i="1" s="1"/>
  <c r="H194" i="1"/>
  <c r="H193" i="1" s="1"/>
  <c r="H192" i="1" s="1"/>
  <c r="H191" i="1" s="1"/>
  <c r="D185" i="1"/>
  <c r="H179" i="1"/>
  <c r="D179" i="1"/>
  <c r="D178" i="1" s="1"/>
  <c r="D177" i="1" s="1"/>
  <c r="D176" i="1" s="1"/>
  <c r="D175" i="1" s="1"/>
  <c r="D174" i="1" s="1"/>
  <c r="H177" i="1"/>
  <c r="H176" i="1" s="1"/>
  <c r="H175" i="1" s="1"/>
  <c r="H174" i="1" s="1"/>
  <c r="H168" i="1"/>
  <c r="D168" i="1"/>
  <c r="D167" i="1" s="1"/>
  <c r="D166" i="1" s="1"/>
  <c r="D165" i="1" s="1"/>
  <c r="D164" i="1" s="1"/>
  <c r="D163" i="1" s="1"/>
  <c r="H166" i="1"/>
  <c r="H165" i="1"/>
  <c r="H164" i="1" s="1"/>
  <c r="H163" i="1" s="1"/>
  <c r="D157" i="1"/>
  <c r="D156" i="1" s="1"/>
  <c r="D155" i="1" s="1"/>
  <c r="D154" i="1" s="1"/>
  <c r="D153" i="1" s="1"/>
  <c r="D152" i="1" s="1"/>
  <c r="H155" i="1"/>
  <c r="H154" i="1"/>
  <c r="H153" i="1" s="1"/>
  <c r="H152" i="1" s="1"/>
  <c r="D146" i="1"/>
  <c r="D145" i="1" s="1"/>
  <c r="D144" i="1" s="1"/>
  <c r="D143" i="1" s="1"/>
  <c r="D142" i="1" s="1"/>
  <c r="D141" i="1" s="1"/>
  <c r="H144" i="1"/>
  <c r="H143" i="1" s="1"/>
  <c r="H142" i="1" s="1"/>
  <c r="H141" i="1" s="1"/>
  <c r="H136" i="1"/>
  <c r="D136" i="1"/>
  <c r="D135" i="1" s="1"/>
  <c r="D134" i="1" s="1"/>
  <c r="D133" i="1" s="1"/>
  <c r="H134" i="1"/>
  <c r="H133" i="1" s="1"/>
  <c r="D127" i="1"/>
  <c r="D126" i="1" s="1"/>
  <c r="D125" i="1" s="1"/>
  <c r="H125" i="1"/>
  <c r="D119" i="1"/>
  <c r="D118" i="1" s="1"/>
  <c r="D117" i="1" s="1"/>
  <c r="D116" i="1" s="1"/>
  <c r="D115" i="1" s="1"/>
  <c r="D114" i="1" s="1"/>
  <c r="H117" i="1"/>
  <c r="H116" i="1" s="1"/>
  <c r="H115" i="1" s="1"/>
  <c r="H114" i="1" s="1"/>
  <c r="D109" i="1"/>
  <c r="D108" i="1" s="1"/>
  <c r="D107" i="1" s="1"/>
  <c r="D106" i="1" s="1"/>
  <c r="D105" i="1" s="1"/>
  <c r="D104" i="1" s="1"/>
  <c r="H107" i="1"/>
  <c r="H106" i="1" s="1"/>
  <c r="H105" i="1" s="1"/>
  <c r="H104" i="1" s="1"/>
  <c r="D98" i="1"/>
  <c r="D97" i="1" s="1"/>
  <c r="D96" i="1" s="1"/>
  <c r="D95" i="1" s="1"/>
  <c r="D94" i="1" s="1"/>
  <c r="D93" i="1" s="1"/>
  <c r="H96" i="1"/>
  <c r="H95" i="1" s="1"/>
  <c r="H94" i="1" s="1"/>
  <c r="H93" i="1" s="1"/>
  <c r="D83" i="1"/>
  <c r="D82" i="1" s="1"/>
  <c r="D81" i="1" s="1"/>
  <c r="D80" i="1" s="1"/>
  <c r="D79" i="1" s="1"/>
  <c r="H81" i="1"/>
  <c r="H80" i="1" s="1"/>
  <c r="H79" i="1" s="1"/>
  <c r="D70" i="1"/>
  <c r="D69" i="1" s="1"/>
  <c r="D68" i="1" s="1"/>
  <c r="D67" i="1" s="1"/>
  <c r="D66" i="1" s="1"/>
  <c r="H68" i="1"/>
  <c r="H67" i="1" s="1"/>
  <c r="H66" i="1" s="1"/>
  <c r="D61" i="1"/>
  <c r="D60" i="1" s="1"/>
  <c r="D59" i="1" s="1"/>
  <c r="D58" i="1" s="1"/>
  <c r="D57" i="1" s="1"/>
  <c r="D56" i="1" s="1"/>
  <c r="H59" i="1"/>
  <c r="H58" i="1" s="1"/>
  <c r="H57" i="1" s="1"/>
  <c r="H56" i="1" s="1"/>
  <c r="D50" i="1"/>
  <c r="D49" i="1" s="1"/>
  <c r="D48" i="1" s="1"/>
  <c r="D47" i="1" s="1"/>
  <c r="D46" i="1" s="1"/>
  <c r="H48" i="1"/>
  <c r="H47" i="1" s="1"/>
  <c r="H46" i="1" s="1"/>
  <c r="D40" i="1"/>
  <c r="D39" i="1" s="1"/>
  <c r="D38" i="1" s="1"/>
  <c r="D37" i="1" s="1"/>
  <c r="D36" i="1" s="1"/>
  <c r="H38" i="1"/>
  <c r="H37" i="1" s="1"/>
  <c r="H36" i="1" s="1"/>
  <c r="D30" i="1"/>
  <c r="D29" i="1" s="1"/>
  <c r="D28" i="1" s="1"/>
  <c r="D27" i="1" s="1"/>
  <c r="D26" i="1" s="1"/>
  <c r="D25" i="1" s="1"/>
  <c r="H28" i="1"/>
  <c r="H27" i="1" s="1"/>
  <c r="H26" i="1" s="1"/>
  <c r="H25" i="1" s="1"/>
  <c r="D19" i="1"/>
  <c r="D18" i="1" s="1"/>
  <c r="D17" i="1" s="1"/>
  <c r="D16" i="1" s="1"/>
  <c r="D15" i="1" s="1"/>
  <c r="H17" i="1"/>
  <c r="H16" i="1" s="1"/>
  <c r="H15" i="1" s="1"/>
  <c r="D9" i="1"/>
  <c r="D8" i="1" s="1"/>
  <c r="D7" i="1" s="1"/>
  <c r="D6" i="1" s="1"/>
  <c r="D5" i="1" s="1"/>
  <c r="D4" i="1" s="1"/>
  <c r="H7" i="1"/>
  <c r="H6" i="1" s="1"/>
  <c r="H5" i="1" s="1"/>
  <c r="H4" i="1" s="1"/>
</calcChain>
</file>

<file path=xl/sharedStrings.xml><?xml version="1.0" encoding="utf-8"?>
<sst xmlns="http://schemas.openxmlformats.org/spreadsheetml/2006/main" count="1184" uniqueCount="162">
  <si>
    <t>Ticker</t>
  </si>
  <si>
    <t>Year</t>
  </si>
  <si>
    <t>ADMR</t>
  </si>
  <si>
    <t>ADARO MINERALS INDONESIA TBK.. PT</t>
  </si>
  <si>
    <t>ADRO</t>
  </si>
  <si>
    <t>ADARO ENERGY TBK.. PT</t>
  </si>
  <si>
    <t>AIMS</t>
  </si>
  <si>
    <t>AKBAR INDO MAKMUR STIMEC TBK</t>
  </si>
  <si>
    <t>AKRA</t>
  </si>
  <si>
    <t>AKR CORPORINDO TBK. PT</t>
  </si>
  <si>
    <t>APEX</t>
  </si>
  <si>
    <t>APEXINDO PRATAMA DUTA TBK</t>
  </si>
  <si>
    <t>ARII</t>
  </si>
  <si>
    <t>ATLAS RESOURCES TBK.. PT</t>
  </si>
  <si>
    <t>ARTI</t>
  </si>
  <si>
    <t>RATU PRABU ENERGI TBK</t>
  </si>
  <si>
    <t>BBRM</t>
  </si>
  <si>
    <t>PELAYARAN NASIONAL BINA BUANA RAYA TBK. PT</t>
  </si>
  <si>
    <t>BESS</t>
  </si>
  <si>
    <t>BATULICIN NUSANTARA MARITIM TBK. PT</t>
  </si>
  <si>
    <t>BIPI</t>
  </si>
  <si>
    <t>ASTRINDO NUSANTARA INFRASTRUKTUR TBK. PT</t>
  </si>
  <si>
    <t>BOSS</t>
  </si>
  <si>
    <t>BORNEO OLAH SARANA SUKSES TBK. PT</t>
  </si>
  <si>
    <t>BSSR</t>
  </si>
  <si>
    <t>BARAMULTI SUKSESSARANA TBK. PT</t>
  </si>
  <si>
    <t>BULL</t>
  </si>
  <si>
    <t>BUANA LINTAS LAUTAN TBK. PT</t>
  </si>
  <si>
    <t>BUMI</t>
  </si>
  <si>
    <t>BUMI RESOURCES TBK. PT</t>
  </si>
  <si>
    <t>BYAN</t>
  </si>
  <si>
    <t>BAYAN RESOURCES TBK.. PT</t>
  </si>
  <si>
    <t>CANI</t>
  </si>
  <si>
    <t>CAPITOL NUSANTARA INDONESIA TBK. PT</t>
  </si>
  <si>
    <t>CNKO</t>
  </si>
  <si>
    <t>EXPLOITASI ENERGI INDONESIA TBK (PT)</t>
  </si>
  <si>
    <t>DEWA</t>
  </si>
  <si>
    <t>DARMA HENWA TBK. PT</t>
  </si>
  <si>
    <t>DOID</t>
  </si>
  <si>
    <t>DELTA DUNIA MAKMUR TBK</t>
  </si>
  <si>
    <t>DSSA</t>
  </si>
  <si>
    <t>DIAN SWASTATIKA SENTOSA TBK. PT</t>
  </si>
  <si>
    <t>DWGL</t>
  </si>
  <si>
    <t>DWI GUNA LAKSANA TBK. PT</t>
  </si>
  <si>
    <t>ELSA</t>
  </si>
  <si>
    <t>ELNUSA TBK. PT</t>
  </si>
  <si>
    <t>ENRG</t>
  </si>
  <si>
    <t>ENERGI MEGA PERSADA TBK. PT</t>
  </si>
  <si>
    <t>ETWA</t>
  </si>
  <si>
    <t>ETERINDO WAHANATAMA TBK</t>
  </si>
  <si>
    <t>FIRE</t>
  </si>
  <si>
    <t>ALFA ENERGI INVESTAMA TBK.. PT</t>
  </si>
  <si>
    <t>GEMS</t>
  </si>
  <si>
    <t>GOLDEN ENERGY MINES TBK.. PT</t>
  </si>
  <si>
    <t>GTBO</t>
  </si>
  <si>
    <t>GARDA TUJUH BUANA TBK. PT</t>
  </si>
  <si>
    <t>GTSI</t>
  </si>
  <si>
    <t>GTS INTERNASIONAL TBK.. PT</t>
  </si>
  <si>
    <t>HITS</t>
  </si>
  <si>
    <t>HUMPUSS INTERMODA TRANSPORTASI TBK</t>
  </si>
  <si>
    <t>HRUM</t>
  </si>
  <si>
    <t>HARUM ENERGY TBK.. PT</t>
  </si>
  <si>
    <t>INDY</t>
  </si>
  <si>
    <t>INDIKA ENERGY TBK. PT</t>
  </si>
  <si>
    <t>INPS</t>
  </si>
  <si>
    <t>INDAH PRAKASA SENTOSA TBK. PT</t>
  </si>
  <si>
    <t>ITMA</t>
  </si>
  <si>
    <t>SUMBER ENERGI ANDALAN TBK. PT</t>
  </si>
  <si>
    <t>ITMG</t>
  </si>
  <si>
    <t>INDO TAMBANGRAYA MEGAH TBK. PT</t>
  </si>
  <si>
    <t>JSKY</t>
  </si>
  <si>
    <t>SKY ENERGY INDONESIA TBK. PT</t>
  </si>
  <si>
    <t>KKGI</t>
  </si>
  <si>
    <t>RESOURCE ALAM INDONESIA TBK. PT</t>
  </si>
  <si>
    <t>KOPI</t>
  </si>
  <si>
    <t>MITRA ENERGI PERSADA TBK. PT</t>
  </si>
  <si>
    <t>LEAD</t>
  </si>
  <si>
    <t>LOGINDO SAMUDRAMAKMUR TBK.. PT</t>
  </si>
  <si>
    <t>MBAP</t>
  </si>
  <si>
    <t>MITRABARA ADIPERDANA TBK. PT</t>
  </si>
  <si>
    <t>MBSS</t>
  </si>
  <si>
    <t>MITRABAHTERA SEGARA SEJATI TBK.. PT</t>
  </si>
  <si>
    <t>MCOL</t>
  </si>
  <si>
    <t>PRIMA ANDALAN MANDIRI TBK.. PT</t>
  </si>
  <si>
    <t>MEDC</t>
  </si>
  <si>
    <t>MEDCO ENERGI INTERNASIONAL TBK</t>
  </si>
  <si>
    <t>MITI</t>
  </si>
  <si>
    <t>MITRA INVESTINDOTBK</t>
  </si>
  <si>
    <t>MTFN</t>
  </si>
  <si>
    <t>CAPITALINC INVESTMENT TBK. PT</t>
  </si>
  <si>
    <t>MYOH</t>
  </si>
  <si>
    <t>SAMINDO RESOURCES TBK</t>
  </si>
  <si>
    <t>OBMD</t>
  </si>
  <si>
    <t>OBM DRILCHEM TBK.. PT</t>
  </si>
  <si>
    <t>PGAS</t>
  </si>
  <si>
    <t>PERUSAHAAN GAS NEGARA (PERSERO) TBK</t>
  </si>
  <si>
    <t>PKPK</t>
  </si>
  <si>
    <t>PERDANA KARYA PERKASA TBK.. PT</t>
  </si>
  <si>
    <t>PSSI</t>
  </si>
  <si>
    <t>PELITA SAMUDERA SHIPPING TBK. PT</t>
  </si>
  <si>
    <t>PTBA</t>
  </si>
  <si>
    <t>BUKIT ASAM TBK. PT</t>
  </si>
  <si>
    <t>PTIS</t>
  </si>
  <si>
    <t>INDO STRAITS TBK.. PT</t>
  </si>
  <si>
    <t>PTRO</t>
  </si>
  <si>
    <t>PETROSEA TBK</t>
  </si>
  <si>
    <t>RAJA</t>
  </si>
  <si>
    <t>RUKUN RAHARJA TBK</t>
  </si>
  <si>
    <t>RIGS</t>
  </si>
  <si>
    <t>RIG TENDERS INDONESIA TBK</t>
  </si>
  <si>
    <t>RMKE</t>
  </si>
  <si>
    <t>RMK ENERGY TBK.. PT</t>
  </si>
  <si>
    <t>RUIS</t>
  </si>
  <si>
    <t>RADIANT UTAMA INTERINSCO TBK</t>
  </si>
  <si>
    <t>SGER</t>
  </si>
  <si>
    <t>SUMBER GLOBAL ENERGY TBK. PT</t>
  </si>
  <si>
    <t>SHIP</t>
  </si>
  <si>
    <t>SILLO MARITIME PERDANA TBK. PT</t>
  </si>
  <si>
    <t>SICO</t>
  </si>
  <si>
    <t>SIGMA ENERGY COMPRESSINDO TBK.. PT</t>
  </si>
  <si>
    <t>SMMT</t>
  </si>
  <si>
    <t>GOLDEN EAGLE ENERGY TBK. PT</t>
  </si>
  <si>
    <t>SMRU</t>
  </si>
  <si>
    <t>SMR UTAMA TBK.. PT</t>
  </si>
  <si>
    <t>SOCI</t>
  </si>
  <si>
    <t>SOECHI LINES TBK. PT</t>
  </si>
  <si>
    <t>SUGI</t>
  </si>
  <si>
    <t>SUGIH ENERGY TBK. PT</t>
  </si>
  <si>
    <t>SURE</t>
  </si>
  <si>
    <t>SUPER ENERGY TBK. PT</t>
  </si>
  <si>
    <t>TAMU</t>
  </si>
  <si>
    <t>PELAYARAN TAMARIN SAMUDRA TBK.. PT</t>
  </si>
  <si>
    <t>TCPI</t>
  </si>
  <si>
    <t>TRANSCOAL PACIFIC TBK. PT</t>
  </si>
  <si>
    <t>TEBE</t>
  </si>
  <si>
    <t>DANA BRATA LUHUR TBK. PT</t>
  </si>
  <si>
    <t>TOBA</t>
  </si>
  <si>
    <t>TOBA BARA SEJAHTRA TBK. PT</t>
  </si>
  <si>
    <t>TPMA</t>
  </si>
  <si>
    <t>TRANS POWER MARINE TBK. PT</t>
  </si>
  <si>
    <t>TRAM</t>
  </si>
  <si>
    <t>TRADA ALAM MINERA TBK.. PT</t>
  </si>
  <si>
    <t>UNIQ</t>
  </si>
  <si>
    <t>ULIMA NITRA TBK.. PT</t>
  </si>
  <si>
    <t>WINS</t>
  </si>
  <si>
    <t>WINTERMAR OFFSHORE MARINE TBK.. PT</t>
  </si>
  <si>
    <t>WOWS</t>
  </si>
  <si>
    <t>GINTING JAYA ENERGI TBK. PT</t>
  </si>
  <si>
    <t>Age(C1)</t>
  </si>
  <si>
    <t>DER(C2)</t>
  </si>
  <si>
    <t>Size(C3)</t>
  </si>
  <si>
    <t>Affiliation(C4)</t>
  </si>
  <si>
    <t>PIAC(C5)</t>
  </si>
  <si>
    <t>ROA(FP1)</t>
  </si>
  <si>
    <t>TOBIN'S Q(FP2)</t>
  </si>
  <si>
    <t>ROE(FP3)</t>
  </si>
  <si>
    <t>VACA(IC1)</t>
  </si>
  <si>
    <t>VAHU(IC2)</t>
  </si>
  <si>
    <t>VAIC(IC4)</t>
  </si>
  <si>
    <t>STVA(IC3)</t>
  </si>
  <si>
    <t>Asset Utilization(SCA1)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</si>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</sst>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Rp]#,##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1" fontId="3" fillId="0" borderId="0" xfId="0" applyNumberFormat="1" applyFont="1"/>
    <xf numFmtId="3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NumberFormat="1" applyFont="1"/>
    <xf numFmtId="0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2575-B816-41F5-9E0C-749CEA035750}">
  <dimension ref="A1:U917"/>
  <sheetViews>
    <sheetView tabSelected="1" topLeftCell="D1" workbookViewId="0">
      <selection activeCell="J478" sqref="J478"/>
    </sheetView>
  </sheetViews>
  <sheetFormatPr defaultColWidth="12.54296875" defaultRowHeight="14.5" x14ac:dyDescent="0.35"/>
  <cols>
    <col min="1" max="1" width="6.08984375" bestFit="1" customWidth="1"/>
    <col min="2" max="2" width="39.26953125" bestFit="1" customWidth="1"/>
    <col min="3" max="3" width="4.81640625" bestFit="1" customWidth="1"/>
    <col min="4" max="4" width="6.6328125" bestFit="1" customWidth="1"/>
    <col min="5" max="5" width="9.54296875" bestFit="1" customWidth="1"/>
    <col min="6" max="6" width="6.7265625" bestFit="1" customWidth="1"/>
    <col min="7" max="7" width="11.36328125" bestFit="1" customWidth="1"/>
    <col min="8" max="8" width="7.36328125" bestFit="1" customWidth="1"/>
    <col min="9" max="9" width="8" customWidth="1"/>
    <col min="10" max="10" width="12.453125" bestFit="1" customWidth="1"/>
    <col min="11" max="11" width="7.81640625" bestFit="1" customWidth="1"/>
    <col min="12" max="12" width="18.36328125" bestFit="1" customWidth="1"/>
    <col min="13" max="13" width="8.54296875" bestFit="1" customWidth="1"/>
    <col min="14" max="14" width="8.81640625" bestFit="1" customWidth="1"/>
    <col min="15" max="15" width="8.1796875" bestFit="1" customWidth="1"/>
    <col min="16" max="16" width="7.90625" bestFit="1" customWidth="1"/>
    <col min="17" max="21" width="8" customWidth="1"/>
    <col min="23" max="24" width="8" customWidth="1"/>
  </cols>
  <sheetData>
    <row r="1" spans="1:21" ht="27.75" customHeight="1" x14ac:dyDescent="0.35">
      <c r="A1" s="15" t="s">
        <v>0</v>
      </c>
      <c r="B1" s="15" t="s">
        <v>161</v>
      </c>
      <c r="C1" s="1" t="s">
        <v>1</v>
      </c>
      <c r="D1" s="2" t="s">
        <v>148</v>
      </c>
      <c r="E1" s="3" t="s">
        <v>149</v>
      </c>
      <c r="F1" s="3" t="s">
        <v>150</v>
      </c>
      <c r="G1" s="4" t="s">
        <v>151</v>
      </c>
      <c r="H1" s="3" t="s">
        <v>152</v>
      </c>
      <c r="I1" s="3" t="s">
        <v>153</v>
      </c>
      <c r="J1" s="3" t="s">
        <v>154</v>
      </c>
      <c r="K1" s="3" t="s">
        <v>155</v>
      </c>
      <c r="L1" s="3" t="s">
        <v>160</v>
      </c>
      <c r="M1" s="5" t="s">
        <v>156</v>
      </c>
      <c r="N1" s="5" t="s">
        <v>157</v>
      </c>
      <c r="O1" s="5" t="s">
        <v>159</v>
      </c>
      <c r="P1" s="5" t="s">
        <v>158</v>
      </c>
    </row>
    <row r="2" spans="1:21" ht="12.75" customHeight="1" x14ac:dyDescent="0.35">
      <c r="A2" s="6" t="s">
        <v>2</v>
      </c>
      <c r="B2" s="6" t="s">
        <v>3</v>
      </c>
      <c r="C2" s="7">
        <v>2021</v>
      </c>
      <c r="D2" s="8">
        <v>14</v>
      </c>
      <c r="E2" s="9">
        <v>3.7010000000000001</v>
      </c>
      <c r="F2" s="9">
        <v>30.254000000000001</v>
      </c>
      <c r="G2" s="17">
        <v>0</v>
      </c>
      <c r="H2" s="9">
        <v>0.66669999999999996</v>
      </c>
      <c r="I2" s="9">
        <v>0.16200000000000001</v>
      </c>
      <c r="J2" s="9">
        <f>J3</f>
        <v>3.9809999999999999</v>
      </c>
      <c r="K2" s="9">
        <v>0.76300000000000001</v>
      </c>
      <c r="L2" s="9">
        <v>0.47699999999999998</v>
      </c>
      <c r="M2" s="11">
        <v>1.1058399999999999</v>
      </c>
      <c r="N2" s="11">
        <v>62.56915</v>
      </c>
      <c r="O2" s="11">
        <v>0.98402000000000001</v>
      </c>
      <c r="P2" s="11">
        <v>64.659009999999995</v>
      </c>
      <c r="Q2" s="7"/>
    </row>
    <row r="3" spans="1:21" ht="12.75" customHeight="1" x14ac:dyDescent="0.35">
      <c r="A3" s="6" t="s">
        <v>2</v>
      </c>
      <c r="B3" s="6" t="s">
        <v>3</v>
      </c>
      <c r="C3" s="7">
        <v>2022</v>
      </c>
      <c r="D3" s="8">
        <v>15</v>
      </c>
      <c r="E3" s="9">
        <v>1.26</v>
      </c>
      <c r="F3" s="9">
        <v>30.638999999999999</v>
      </c>
      <c r="G3" s="17">
        <v>1</v>
      </c>
      <c r="H3" s="9">
        <v>0.66669999999999996</v>
      </c>
      <c r="I3" s="9">
        <v>0.26100000000000001</v>
      </c>
      <c r="J3" s="9">
        <v>3.9809999999999999</v>
      </c>
      <c r="K3" s="9">
        <v>0.59</v>
      </c>
      <c r="L3" s="9">
        <v>0.70599999999999996</v>
      </c>
      <c r="M3" s="11">
        <v>0.73294999999999999</v>
      </c>
      <c r="N3" s="11">
        <v>110.36059</v>
      </c>
      <c r="O3" s="11">
        <v>0.99094000000000004</v>
      </c>
      <c r="P3" s="11">
        <v>112.08448</v>
      </c>
      <c r="Q3" s="7"/>
    </row>
    <row r="4" spans="1:21" ht="12.75" customHeight="1" x14ac:dyDescent="0.35">
      <c r="A4" s="6" t="s">
        <v>4</v>
      </c>
      <c r="B4" s="6" t="s">
        <v>5</v>
      </c>
      <c r="C4" s="7">
        <v>2012</v>
      </c>
      <c r="D4" s="8">
        <f t="shared" ref="D4:D9" si="0">D5-1</f>
        <v>8</v>
      </c>
      <c r="E4" s="9">
        <v>1.23444</v>
      </c>
      <c r="F4" s="9">
        <v>31.770600000000002</v>
      </c>
      <c r="G4" s="10">
        <v>1</v>
      </c>
      <c r="H4" s="9">
        <f t="shared" ref="H4:H7" si="1">H5</f>
        <v>0.66666666666666663</v>
      </c>
      <c r="I4" s="9">
        <v>5.7599999999999998E-2</v>
      </c>
      <c r="J4" s="9">
        <v>1.34121</v>
      </c>
      <c r="K4" s="9">
        <v>0.12870000000000001</v>
      </c>
      <c r="L4" s="9">
        <v>0.55620000000000003</v>
      </c>
      <c r="M4" s="11">
        <v>0.94413999999999998</v>
      </c>
      <c r="N4" s="11">
        <v>57.856819999999999</v>
      </c>
      <c r="O4" s="11">
        <v>0.98272000000000004</v>
      </c>
      <c r="P4" s="11">
        <v>59.783670000000001</v>
      </c>
      <c r="Q4" s="7"/>
    </row>
    <row r="5" spans="1:21" ht="12.75" customHeight="1" x14ac:dyDescent="0.35">
      <c r="A5" s="6" t="s">
        <v>4</v>
      </c>
      <c r="B5" s="6" t="s">
        <v>5</v>
      </c>
      <c r="C5" s="7">
        <v>2013</v>
      </c>
      <c r="D5" s="8">
        <f t="shared" si="0"/>
        <v>9</v>
      </c>
      <c r="E5" s="9">
        <v>1.1094999999999999</v>
      </c>
      <c r="F5" s="9">
        <v>31.879300000000001</v>
      </c>
      <c r="G5" s="10">
        <v>1</v>
      </c>
      <c r="H5" s="9">
        <f t="shared" si="1"/>
        <v>0.66666666666666663</v>
      </c>
      <c r="I5" s="9">
        <v>3.49E-2</v>
      </c>
      <c r="J5" s="9">
        <v>0.95238999999999996</v>
      </c>
      <c r="K5" s="9">
        <v>7.3700000000000002E-2</v>
      </c>
      <c r="L5" s="9">
        <v>0.49059999999999998</v>
      </c>
      <c r="M5" s="11">
        <v>0.83894999999999997</v>
      </c>
      <c r="N5" s="11">
        <v>37.639490000000002</v>
      </c>
      <c r="O5" s="11">
        <v>0.97343000000000002</v>
      </c>
      <c r="P5" s="11">
        <v>39.45187</v>
      </c>
      <c r="Q5" s="7"/>
    </row>
    <row r="6" spans="1:21" ht="12.75" customHeight="1" x14ac:dyDescent="0.35">
      <c r="A6" s="6" t="s">
        <v>4</v>
      </c>
      <c r="B6" s="6" t="s">
        <v>5</v>
      </c>
      <c r="C6" s="7">
        <v>2014</v>
      </c>
      <c r="D6" s="8">
        <f t="shared" si="0"/>
        <v>10</v>
      </c>
      <c r="E6" s="9">
        <v>0.96775999999999995</v>
      </c>
      <c r="F6" s="9">
        <v>31.964200000000002</v>
      </c>
      <c r="G6" s="10">
        <v>1</v>
      </c>
      <c r="H6" s="9">
        <f t="shared" si="1"/>
        <v>0.66666666666666663</v>
      </c>
      <c r="I6" s="9">
        <v>2.7699999999999999E-2</v>
      </c>
      <c r="J6" s="9">
        <v>0.90912999999999999</v>
      </c>
      <c r="K6" s="9">
        <v>5.4600000000000003E-2</v>
      </c>
      <c r="L6" s="9">
        <v>0.51849999999999996</v>
      </c>
      <c r="M6" s="11">
        <v>0.82843</v>
      </c>
      <c r="N6" s="11">
        <v>37.677720000000001</v>
      </c>
      <c r="O6" s="11">
        <v>0.97345999999999999</v>
      </c>
      <c r="P6" s="11">
        <v>39.479610000000001</v>
      </c>
      <c r="Q6" s="7"/>
    </row>
    <row r="7" spans="1:21" ht="12.75" customHeight="1" x14ac:dyDescent="0.35">
      <c r="A7" s="6" t="s">
        <v>4</v>
      </c>
      <c r="B7" s="6" t="s">
        <v>5</v>
      </c>
      <c r="C7" s="7">
        <v>2015</v>
      </c>
      <c r="D7" s="8">
        <f t="shared" si="0"/>
        <v>11</v>
      </c>
      <c r="E7" s="9">
        <v>0.77707999999999999</v>
      </c>
      <c r="F7" s="9">
        <v>32.0105</v>
      </c>
      <c r="G7" s="10">
        <v>1</v>
      </c>
      <c r="H7" s="9">
        <f t="shared" si="1"/>
        <v>0.66666666666666663</v>
      </c>
      <c r="I7" s="9">
        <v>2.5600000000000001E-2</v>
      </c>
      <c r="J7" s="9">
        <v>0.63770000000000004</v>
      </c>
      <c r="K7" s="9">
        <v>4.5499999999999999E-2</v>
      </c>
      <c r="L7" s="9">
        <v>0.45050000000000001</v>
      </c>
      <c r="M7" s="11">
        <v>0.68317000000000005</v>
      </c>
      <c r="N7" s="11">
        <v>33.546349999999997</v>
      </c>
      <c r="O7" s="11">
        <v>0.97019</v>
      </c>
      <c r="P7" s="11">
        <v>35.199719999999999</v>
      </c>
      <c r="Q7" s="7"/>
    </row>
    <row r="8" spans="1:21" ht="12.75" customHeight="1" x14ac:dyDescent="0.35">
      <c r="A8" s="6" t="s">
        <v>4</v>
      </c>
      <c r="B8" s="6" t="s">
        <v>5</v>
      </c>
      <c r="C8" s="7">
        <v>2016</v>
      </c>
      <c r="D8" s="8">
        <f t="shared" si="0"/>
        <v>12</v>
      </c>
      <c r="E8" s="9">
        <v>0.72277999999999998</v>
      </c>
      <c r="F8" s="9">
        <v>32.0946</v>
      </c>
      <c r="G8" s="10">
        <v>1</v>
      </c>
      <c r="H8" s="9">
        <v>0.66666666666666663</v>
      </c>
      <c r="I8" s="9">
        <v>5.1299999999999998E-2</v>
      </c>
      <c r="J8" s="9">
        <v>1.0383</v>
      </c>
      <c r="K8" s="9">
        <v>8.8400000000000006E-2</v>
      </c>
      <c r="L8" s="9">
        <v>0.38700000000000001</v>
      </c>
      <c r="M8" s="11">
        <v>0.51222999999999996</v>
      </c>
      <c r="N8" s="11">
        <v>26.31869</v>
      </c>
      <c r="O8" s="11">
        <v>0.96199999999999997</v>
      </c>
      <c r="P8" s="11">
        <v>27.792919999999999</v>
      </c>
      <c r="Q8" s="7"/>
    </row>
    <row r="9" spans="1:21" ht="12.75" customHeight="1" x14ac:dyDescent="0.35">
      <c r="A9" s="6" t="s">
        <v>4</v>
      </c>
      <c r="B9" s="6" t="s">
        <v>5</v>
      </c>
      <c r="C9" s="7">
        <v>2017</v>
      </c>
      <c r="D9" s="8">
        <f t="shared" si="0"/>
        <v>13</v>
      </c>
      <c r="E9" s="9">
        <v>0.66539000000000004</v>
      </c>
      <c r="F9" s="9">
        <v>32.156300000000002</v>
      </c>
      <c r="G9" s="10">
        <v>1</v>
      </c>
      <c r="H9" s="9">
        <v>0.66666666666666663</v>
      </c>
      <c r="I9" s="9">
        <v>7.0900000000000005E-2</v>
      </c>
      <c r="J9" s="9">
        <v>1.0439799999999999</v>
      </c>
      <c r="K9" s="9">
        <v>0.1181</v>
      </c>
      <c r="L9" s="9">
        <v>0.47820000000000001</v>
      </c>
      <c r="M9" s="11">
        <v>0.57572999999999996</v>
      </c>
      <c r="N9" s="11">
        <v>27.781569999999999</v>
      </c>
      <c r="O9" s="11">
        <v>0.96399999999999997</v>
      </c>
      <c r="P9" s="11">
        <v>29.321300000000001</v>
      </c>
      <c r="Q9" s="7"/>
    </row>
    <row r="10" spans="1:21" ht="12.75" customHeight="1" x14ac:dyDescent="0.35">
      <c r="A10" s="6" t="s">
        <v>4</v>
      </c>
      <c r="B10" s="6" t="s">
        <v>5</v>
      </c>
      <c r="C10" s="7">
        <v>2018</v>
      </c>
      <c r="D10" s="8">
        <v>14</v>
      </c>
      <c r="E10" s="9">
        <v>0.64100000000000001</v>
      </c>
      <c r="F10" s="9">
        <v>32.277000000000001</v>
      </c>
      <c r="G10" s="17">
        <v>1</v>
      </c>
      <c r="H10" s="9">
        <v>0.66669999999999996</v>
      </c>
      <c r="I10" s="9">
        <v>5.8999999999999997E-2</v>
      </c>
      <c r="J10" s="9">
        <v>0.77100000000000002</v>
      </c>
      <c r="K10" s="9">
        <v>9.7000000000000003E-2</v>
      </c>
      <c r="L10" s="9">
        <v>0.51300000000000001</v>
      </c>
      <c r="M10" s="11">
        <v>0.61958000000000002</v>
      </c>
      <c r="N10" s="11">
        <v>27.329129999999999</v>
      </c>
      <c r="O10" s="11">
        <v>0.96340999999999999</v>
      </c>
      <c r="P10" s="11">
        <v>28.912120000000002</v>
      </c>
      <c r="Q10" s="7"/>
    </row>
    <row r="11" spans="1:21" ht="12.75" customHeight="1" x14ac:dyDescent="0.35">
      <c r="A11" s="6" t="s">
        <v>4</v>
      </c>
      <c r="B11" s="6" t="s">
        <v>5</v>
      </c>
      <c r="C11" s="7">
        <v>2019</v>
      </c>
      <c r="D11" s="8">
        <v>15</v>
      </c>
      <c r="E11" s="9">
        <v>0.81200000000000006</v>
      </c>
      <c r="F11" s="9">
        <v>32.238999999999997</v>
      </c>
      <c r="G11" s="17">
        <v>1</v>
      </c>
      <c r="H11" s="9">
        <v>0.66669999999999996</v>
      </c>
      <c r="I11" s="9">
        <v>0.06</v>
      </c>
      <c r="J11" s="9">
        <v>0.94399999999999995</v>
      </c>
      <c r="K11" s="9">
        <v>0.109</v>
      </c>
      <c r="L11" s="9">
        <v>0.47899999999999998</v>
      </c>
      <c r="M11" s="11">
        <v>0.72360000000000002</v>
      </c>
      <c r="N11" s="11">
        <v>25.991060000000001</v>
      </c>
      <c r="O11" s="11">
        <v>0.96153</v>
      </c>
      <c r="P11" s="11">
        <v>27.676179999999999</v>
      </c>
      <c r="Q11" s="7"/>
    </row>
    <row r="12" spans="1:21" ht="12.75" customHeight="1" x14ac:dyDescent="0.35">
      <c r="A12" s="6" t="s">
        <v>4</v>
      </c>
      <c r="B12" s="6" t="s">
        <v>5</v>
      </c>
      <c r="C12" s="7">
        <v>2020</v>
      </c>
      <c r="D12" s="8">
        <v>16</v>
      </c>
      <c r="E12" s="9">
        <v>0.61499999999999999</v>
      </c>
      <c r="F12" s="9">
        <v>32.131</v>
      </c>
      <c r="G12" s="17">
        <v>1</v>
      </c>
      <c r="H12" s="9">
        <v>0.66669999999999996</v>
      </c>
      <c r="I12" s="9">
        <v>2.5000000000000001E-2</v>
      </c>
      <c r="J12" s="9">
        <v>0.88900000000000001</v>
      </c>
      <c r="K12" s="9">
        <v>0.04</v>
      </c>
      <c r="L12" s="9">
        <v>0.39700000000000002</v>
      </c>
      <c r="M12" s="11">
        <v>0.54508999999999996</v>
      </c>
      <c r="N12" s="11">
        <v>20.757570000000001</v>
      </c>
      <c r="O12" s="11">
        <v>0.95182</v>
      </c>
      <c r="P12" s="11">
        <v>22.254490000000001</v>
      </c>
      <c r="Q12" s="7"/>
    </row>
    <row r="13" spans="1:21" ht="12.75" customHeight="1" x14ac:dyDescent="0.35">
      <c r="A13" s="6" t="s">
        <v>4</v>
      </c>
      <c r="B13" s="6" t="s">
        <v>5</v>
      </c>
      <c r="C13" s="7">
        <v>2021</v>
      </c>
      <c r="D13" s="8">
        <v>17</v>
      </c>
      <c r="E13" s="9">
        <v>0.70199999999999996</v>
      </c>
      <c r="F13" s="9">
        <v>32.315539999999999</v>
      </c>
      <c r="G13" s="12">
        <v>1</v>
      </c>
      <c r="H13" s="9">
        <v>0.66669999999999996</v>
      </c>
      <c r="I13" s="9">
        <v>0.13557</v>
      </c>
      <c r="J13" s="9">
        <v>1.077</v>
      </c>
      <c r="K13" s="9">
        <v>0.23071339732611829</v>
      </c>
      <c r="L13" s="9">
        <v>0.57469207945470491</v>
      </c>
      <c r="M13" s="11">
        <v>3.1197565522698794</v>
      </c>
      <c r="N13" s="11">
        <v>1.3769531212037855</v>
      </c>
      <c r="O13" s="11">
        <v>0.27375886324600407</v>
      </c>
      <c r="P13" s="11">
        <v>4.7704685367196697</v>
      </c>
      <c r="Q13" s="7"/>
    </row>
    <row r="14" spans="1:21" ht="12.75" customHeight="1" x14ac:dyDescent="0.35">
      <c r="A14" s="6" t="s">
        <v>4</v>
      </c>
      <c r="B14" s="6" t="s">
        <v>5</v>
      </c>
      <c r="C14" s="7">
        <v>2022</v>
      </c>
      <c r="D14" s="8">
        <v>18</v>
      </c>
      <c r="E14" s="9">
        <v>0.65200000000000002</v>
      </c>
      <c r="F14" s="9">
        <v>32.764560000000003</v>
      </c>
      <c r="G14" s="12">
        <v>1</v>
      </c>
      <c r="H14" s="9">
        <v>0.66669999999999996</v>
      </c>
      <c r="I14" s="9">
        <v>0.26257000000000003</v>
      </c>
      <c r="J14" s="9">
        <v>1.121</v>
      </c>
      <c r="K14" s="9">
        <v>0.43373316963209196</v>
      </c>
      <c r="L14" s="9">
        <v>0.91738420809003174</v>
      </c>
      <c r="M14" s="11">
        <v>1.1988925653918949</v>
      </c>
      <c r="N14" s="11">
        <v>86.56611725663717</v>
      </c>
      <c r="O14" s="11">
        <v>0.98844813615660543</v>
      </c>
      <c r="P14" s="11">
        <v>88.753457958185678</v>
      </c>
      <c r="Q14" s="7"/>
    </row>
    <row r="15" spans="1:21" ht="12.75" customHeight="1" x14ac:dyDescent="0.35">
      <c r="A15" s="6" t="s">
        <v>6</v>
      </c>
      <c r="B15" s="6" t="s">
        <v>7</v>
      </c>
      <c r="C15" s="7">
        <v>2012</v>
      </c>
      <c r="D15" s="8">
        <f t="shared" ref="D15:D19" si="2">D16-1</f>
        <v>16</v>
      </c>
      <c r="E15" s="9">
        <v>1.04956</v>
      </c>
      <c r="F15" s="9">
        <v>24.546800000000001</v>
      </c>
      <c r="G15" s="10">
        <v>0</v>
      </c>
      <c r="H15" s="9">
        <f t="shared" ref="H15:H17" si="3">H16</f>
        <v>0.66666666666666663</v>
      </c>
      <c r="I15" s="9">
        <v>3.5099999999999999E-2</v>
      </c>
      <c r="J15" s="9">
        <v>1.08893</v>
      </c>
      <c r="K15" s="9">
        <v>7.1900000000000006E-2</v>
      </c>
      <c r="L15" s="9">
        <v>5.5354999999999999</v>
      </c>
      <c r="M15" s="11">
        <v>11.45513</v>
      </c>
      <c r="N15" s="11">
        <v>76.711550000000003</v>
      </c>
      <c r="O15" s="11">
        <v>0.98695999999999995</v>
      </c>
      <c r="P15" s="11">
        <v>89.153639999999996</v>
      </c>
      <c r="Q15" s="7"/>
      <c r="T15" s="13"/>
      <c r="U15" s="14"/>
    </row>
    <row r="16" spans="1:21" ht="12.75" customHeight="1" x14ac:dyDescent="0.35">
      <c r="A16" s="6" t="s">
        <v>6</v>
      </c>
      <c r="B16" s="6" t="s">
        <v>7</v>
      </c>
      <c r="C16" s="7">
        <v>2014</v>
      </c>
      <c r="D16" s="8">
        <f t="shared" si="2"/>
        <v>17</v>
      </c>
      <c r="E16" s="9">
        <v>4.5150000000000003E-2</v>
      </c>
      <c r="F16" s="9">
        <v>23.866599999999998</v>
      </c>
      <c r="G16" s="10">
        <v>0</v>
      </c>
      <c r="H16" s="9">
        <f t="shared" si="3"/>
        <v>0.66666666666666663</v>
      </c>
      <c r="I16" s="9">
        <v>-8.5800000000000001E-2</v>
      </c>
      <c r="J16" s="9">
        <v>1.82734</v>
      </c>
      <c r="K16" s="9">
        <v>-8.9599999999999999E-2</v>
      </c>
      <c r="L16" s="9">
        <v>1.1754</v>
      </c>
      <c r="M16" s="11">
        <v>1.4342999999999999</v>
      </c>
      <c r="N16" s="11">
        <v>15.621689999999999</v>
      </c>
      <c r="O16" s="11">
        <v>0.93598999999999999</v>
      </c>
      <c r="P16" s="11">
        <v>17.991980000000002</v>
      </c>
      <c r="Q16" s="7"/>
      <c r="T16" s="13"/>
      <c r="U16" s="14"/>
    </row>
    <row r="17" spans="1:21" ht="12.75" customHeight="1" x14ac:dyDescent="0.35">
      <c r="A17" s="6" t="s">
        <v>6</v>
      </c>
      <c r="B17" s="6" t="s">
        <v>7</v>
      </c>
      <c r="C17" s="7">
        <v>2015</v>
      </c>
      <c r="D17" s="8">
        <f t="shared" si="2"/>
        <v>18</v>
      </c>
      <c r="E17" s="9">
        <v>4.446E-2</v>
      </c>
      <c r="F17" s="9">
        <v>23.764800000000001</v>
      </c>
      <c r="G17" s="10">
        <v>0</v>
      </c>
      <c r="H17" s="9">
        <f t="shared" si="3"/>
        <v>0.66666666666666663</v>
      </c>
      <c r="I17" s="9">
        <v>-0.10340000000000001</v>
      </c>
      <c r="J17" s="9">
        <v>2.2492299999999998</v>
      </c>
      <c r="K17" s="9">
        <v>-0.108</v>
      </c>
      <c r="L17" s="9">
        <v>7.3000000000000001E-3</v>
      </c>
      <c r="M17" s="11">
        <v>0.26236999999999999</v>
      </c>
      <c r="N17" s="11">
        <v>2.3595899999999999</v>
      </c>
      <c r="O17" s="11">
        <v>0.57620000000000005</v>
      </c>
      <c r="P17" s="11">
        <v>3.1981600000000001</v>
      </c>
      <c r="Q17" s="7"/>
      <c r="T17" s="13"/>
      <c r="U17" s="14"/>
    </row>
    <row r="18" spans="1:21" ht="12.75" customHeight="1" x14ac:dyDescent="0.35">
      <c r="A18" s="6" t="s">
        <v>6</v>
      </c>
      <c r="B18" s="6" t="s">
        <v>7</v>
      </c>
      <c r="C18" s="7">
        <v>2016</v>
      </c>
      <c r="D18" s="8">
        <f t="shared" si="2"/>
        <v>19</v>
      </c>
      <c r="E18" s="9">
        <v>2.3859999999999999E-2</v>
      </c>
      <c r="F18" s="9">
        <v>23.556999999999999</v>
      </c>
      <c r="G18" s="10">
        <v>0</v>
      </c>
      <c r="H18" s="9">
        <v>0.66666666666666663</v>
      </c>
      <c r="I18" s="9">
        <v>-0.20449999999999999</v>
      </c>
      <c r="J18" s="9">
        <v>2.3514599999999999</v>
      </c>
      <c r="K18" s="9">
        <v>-0.2094</v>
      </c>
      <c r="L18" s="9">
        <v>2.7300000000000001E-2</v>
      </c>
      <c r="M18" s="11">
        <v>0.23097000000000001</v>
      </c>
      <c r="N18" s="11">
        <v>2.5123500000000001</v>
      </c>
      <c r="O18" s="11">
        <v>0.60197000000000001</v>
      </c>
      <c r="P18" s="11">
        <v>3.3452799999999998</v>
      </c>
      <c r="Q18" s="7"/>
      <c r="T18" s="13"/>
      <c r="U18" s="14"/>
    </row>
    <row r="19" spans="1:21" ht="12.75" customHeight="1" x14ac:dyDescent="0.35">
      <c r="A19" s="6" t="s">
        <v>6</v>
      </c>
      <c r="B19" s="6" t="s">
        <v>7</v>
      </c>
      <c r="C19" s="7">
        <v>2017</v>
      </c>
      <c r="D19" s="8">
        <f t="shared" si="2"/>
        <v>20</v>
      </c>
      <c r="E19" s="9">
        <v>8.5299999999999994E-3</v>
      </c>
      <c r="F19" s="9">
        <v>23.437999999999999</v>
      </c>
      <c r="G19" s="10">
        <v>0</v>
      </c>
      <c r="H19" s="9">
        <v>0.66666666666666663</v>
      </c>
      <c r="I19" s="9">
        <v>-0.1069</v>
      </c>
      <c r="J19" s="9">
        <v>3.62155</v>
      </c>
      <c r="K19" s="9">
        <v>-0.10780000000000001</v>
      </c>
      <c r="L19" s="9">
        <v>0.1734</v>
      </c>
      <c r="M19" s="11">
        <v>0.34510000000000002</v>
      </c>
      <c r="N19" s="11">
        <v>5.8232499999999998</v>
      </c>
      <c r="O19" s="11">
        <v>0.82826999999999995</v>
      </c>
      <c r="P19" s="11">
        <v>6.9966200000000001</v>
      </c>
      <c r="Q19" s="7"/>
      <c r="T19" s="13"/>
      <c r="U19" s="14"/>
    </row>
    <row r="20" spans="1:21" ht="12.75" customHeight="1" x14ac:dyDescent="0.35">
      <c r="A20" s="6" t="s">
        <v>6</v>
      </c>
      <c r="B20" s="6" t="s">
        <v>7</v>
      </c>
      <c r="C20" s="7">
        <v>2018</v>
      </c>
      <c r="D20" s="8">
        <v>21</v>
      </c>
      <c r="E20" s="9">
        <v>0.223</v>
      </c>
      <c r="F20" s="9">
        <v>23.587</v>
      </c>
      <c r="G20" s="17">
        <v>0</v>
      </c>
      <c r="H20" s="9">
        <v>0</v>
      </c>
      <c r="I20" s="9">
        <v>-3.5999999999999997E-2</v>
      </c>
      <c r="J20" s="9">
        <v>2.4409999999999998</v>
      </c>
      <c r="K20" s="9">
        <v>-4.3999999999999997E-2</v>
      </c>
      <c r="L20" s="9">
        <v>0</v>
      </c>
      <c r="M20" s="11">
        <v>6.0850000000000001E-2</v>
      </c>
      <c r="N20" s="11">
        <v>3.7520899999999999</v>
      </c>
      <c r="O20" s="11">
        <v>0.73348000000000002</v>
      </c>
      <c r="P20" s="11">
        <v>4.5464200000000003</v>
      </c>
      <c r="Q20" s="7"/>
    </row>
    <row r="21" spans="1:21" ht="12.75" customHeight="1" x14ac:dyDescent="0.35">
      <c r="A21" s="6" t="s">
        <v>6</v>
      </c>
      <c r="B21" s="6" t="s">
        <v>7</v>
      </c>
      <c r="C21" s="7">
        <v>2019</v>
      </c>
      <c r="D21" s="8">
        <v>22</v>
      </c>
      <c r="E21" s="9">
        <v>0.28499999999999998</v>
      </c>
      <c r="F21" s="9">
        <v>23.587</v>
      </c>
      <c r="G21" s="17">
        <v>0</v>
      </c>
      <c r="H21" s="9">
        <v>0</v>
      </c>
      <c r="I21" s="9">
        <v>-0.04</v>
      </c>
      <c r="J21" s="9">
        <v>2.4809999999999999</v>
      </c>
      <c r="K21" s="9">
        <v>-5.0999999999999997E-2</v>
      </c>
      <c r="L21" s="9">
        <v>0</v>
      </c>
      <c r="M21" s="11">
        <v>8.5150000000000003E-2</v>
      </c>
      <c r="N21" s="11">
        <v>2.4975100000000001</v>
      </c>
      <c r="O21" s="11">
        <v>0.59960000000000002</v>
      </c>
      <c r="P21" s="11">
        <v>3.1822599999999999</v>
      </c>
      <c r="Q21" s="7"/>
    </row>
    <row r="22" spans="1:21" ht="12.75" customHeight="1" x14ac:dyDescent="0.35">
      <c r="A22" s="6" t="s">
        <v>6</v>
      </c>
      <c r="B22" s="6" t="s">
        <v>7</v>
      </c>
      <c r="C22" s="7">
        <v>2020</v>
      </c>
      <c r="D22" s="8">
        <v>23</v>
      </c>
      <c r="E22" s="9">
        <v>0.627</v>
      </c>
      <c r="F22" s="9">
        <v>23.757000000000001</v>
      </c>
      <c r="G22" s="17">
        <v>0</v>
      </c>
      <c r="H22" s="9">
        <v>0</v>
      </c>
      <c r="I22" s="9">
        <v>-4.2000000000000003E-2</v>
      </c>
      <c r="J22" s="9">
        <v>1.952</v>
      </c>
      <c r="K22" s="9">
        <v>-6.8000000000000005E-2</v>
      </c>
      <c r="L22" s="9">
        <v>0.22700000000000001</v>
      </c>
      <c r="M22" s="11">
        <v>0.47300999999999999</v>
      </c>
      <c r="N22" s="11">
        <v>12.99574</v>
      </c>
      <c r="O22" s="11">
        <v>0.92305000000000004</v>
      </c>
      <c r="P22" s="11">
        <v>14.39181</v>
      </c>
      <c r="Q22" s="7"/>
    </row>
    <row r="23" spans="1:21" ht="12.75" customHeight="1" x14ac:dyDescent="0.35">
      <c r="A23" s="6" t="s">
        <v>6</v>
      </c>
      <c r="B23" s="6" t="s">
        <v>7</v>
      </c>
      <c r="C23" s="7">
        <v>2021</v>
      </c>
      <c r="D23" s="8">
        <v>24</v>
      </c>
      <c r="E23" s="9">
        <v>0.53</v>
      </c>
      <c r="F23" s="9">
        <v>23.882000000000001</v>
      </c>
      <c r="G23" s="17">
        <v>0</v>
      </c>
      <c r="H23" s="9">
        <v>0</v>
      </c>
      <c r="I23" s="9">
        <v>0.111</v>
      </c>
      <c r="J23" s="9">
        <v>4.1029999999999998</v>
      </c>
      <c r="K23" s="9">
        <v>0.17</v>
      </c>
      <c r="L23" s="9">
        <v>1.6359999999999999</v>
      </c>
      <c r="M23" s="11">
        <v>2.3744499999999999</v>
      </c>
      <c r="N23" s="11">
        <v>78.588099999999997</v>
      </c>
      <c r="O23" s="11">
        <v>0.98728000000000005</v>
      </c>
      <c r="P23" s="11">
        <v>81.949820000000003</v>
      </c>
      <c r="Q23" s="7"/>
    </row>
    <row r="24" spans="1:21" ht="12.75" customHeight="1" x14ac:dyDescent="0.35">
      <c r="A24" s="6" t="s">
        <v>6</v>
      </c>
      <c r="B24" s="6" t="s">
        <v>7</v>
      </c>
      <c r="C24" s="7">
        <v>2022</v>
      </c>
      <c r="D24" s="8">
        <v>25</v>
      </c>
      <c r="E24" s="9">
        <v>0.88100000000000001</v>
      </c>
      <c r="F24" s="9">
        <v>24.100999999999999</v>
      </c>
      <c r="G24" s="17">
        <v>0</v>
      </c>
      <c r="H24" s="9">
        <v>0</v>
      </c>
      <c r="I24" s="9">
        <v>6.0000000000000001E-3</v>
      </c>
      <c r="J24" s="9">
        <v>2.0150000000000001</v>
      </c>
      <c r="K24" s="9">
        <v>1.2E-2</v>
      </c>
      <c r="L24" s="9">
        <v>1.1100000000000001</v>
      </c>
      <c r="M24" s="11">
        <v>2.3123100000000001</v>
      </c>
      <c r="N24" s="11">
        <v>7.7475899999999998</v>
      </c>
      <c r="O24" s="11">
        <v>0.87092999999999998</v>
      </c>
      <c r="P24" s="11">
        <v>10.930820000000001</v>
      </c>
      <c r="Q24" s="7"/>
    </row>
    <row r="25" spans="1:21" ht="12.75" customHeight="1" x14ac:dyDescent="0.35">
      <c r="A25" s="6" t="s">
        <v>8</v>
      </c>
      <c r="B25" s="6" t="s">
        <v>9</v>
      </c>
      <c r="C25" s="7">
        <v>2012</v>
      </c>
      <c r="D25" s="8">
        <f t="shared" ref="D25:D30" si="4">D26-1</f>
        <v>35</v>
      </c>
      <c r="E25" s="9">
        <v>1.91988</v>
      </c>
      <c r="F25" s="9">
        <v>30.098099999999999</v>
      </c>
      <c r="G25" s="10">
        <v>1</v>
      </c>
      <c r="H25" s="9">
        <f t="shared" ref="H25:H28" si="5">H26</f>
        <v>0.75</v>
      </c>
      <c r="I25" s="9">
        <v>5.5100000000000003E-2</v>
      </c>
      <c r="J25" s="9">
        <v>2.01349</v>
      </c>
      <c r="K25" s="9">
        <v>0.1608</v>
      </c>
      <c r="L25" s="9">
        <v>1.8387</v>
      </c>
      <c r="M25" s="11">
        <v>5.1991300000000003</v>
      </c>
      <c r="N25" s="11">
        <v>113.49003</v>
      </c>
      <c r="O25" s="11">
        <v>0.99119000000000002</v>
      </c>
      <c r="P25" s="11">
        <v>119.68035</v>
      </c>
      <c r="Q25" s="7"/>
    </row>
    <row r="26" spans="1:21" ht="12.75" customHeight="1" x14ac:dyDescent="0.35">
      <c r="A26" s="6" t="s">
        <v>8</v>
      </c>
      <c r="B26" s="6" t="s">
        <v>9</v>
      </c>
      <c r="C26" s="7">
        <v>2013</v>
      </c>
      <c r="D26" s="8">
        <f t="shared" si="4"/>
        <v>36</v>
      </c>
      <c r="E26" s="9">
        <v>1.72845</v>
      </c>
      <c r="F26" s="9">
        <v>30.314299999999999</v>
      </c>
      <c r="G26" s="10">
        <v>1</v>
      </c>
      <c r="H26" s="9">
        <f t="shared" si="5"/>
        <v>0.75</v>
      </c>
      <c r="I26" s="9">
        <v>4.4299999999999999E-2</v>
      </c>
      <c r="J26" s="9">
        <v>1.79375</v>
      </c>
      <c r="K26" s="9">
        <v>0.12089999999999999</v>
      </c>
      <c r="L26" s="9">
        <v>1.5265</v>
      </c>
      <c r="M26" s="11">
        <v>4.0525900000000004</v>
      </c>
      <c r="N26" s="11">
        <v>84.648529999999994</v>
      </c>
      <c r="O26" s="11">
        <v>0.98819000000000001</v>
      </c>
      <c r="P26" s="11">
        <v>89.689310000000006</v>
      </c>
      <c r="Q26" s="7"/>
    </row>
    <row r="27" spans="1:21" ht="12.75" customHeight="1" x14ac:dyDescent="0.35">
      <c r="A27" s="6" t="s">
        <v>8</v>
      </c>
      <c r="B27" s="6" t="s">
        <v>9</v>
      </c>
      <c r="C27" s="7">
        <v>2014</v>
      </c>
      <c r="D27" s="8">
        <f t="shared" si="4"/>
        <v>37</v>
      </c>
      <c r="E27" s="9">
        <v>1.47919</v>
      </c>
      <c r="F27" s="9">
        <v>30.324999999999999</v>
      </c>
      <c r="G27" s="10">
        <v>1</v>
      </c>
      <c r="H27" s="9">
        <f t="shared" si="5"/>
        <v>0.75</v>
      </c>
      <c r="I27" s="9">
        <v>5.4800000000000001E-2</v>
      </c>
      <c r="J27" s="9">
        <v>1.6868399999999999</v>
      </c>
      <c r="K27" s="9">
        <v>0.1358</v>
      </c>
      <c r="L27" s="9">
        <v>1.5190999999999999</v>
      </c>
      <c r="M27" s="11">
        <v>3.6366700000000001</v>
      </c>
      <c r="N27" s="11">
        <v>59.049480000000003</v>
      </c>
      <c r="O27" s="11">
        <v>0.98307</v>
      </c>
      <c r="P27" s="11">
        <v>63.66921</v>
      </c>
      <c r="Q27" s="7"/>
    </row>
    <row r="28" spans="1:21" ht="12.75" customHeight="1" x14ac:dyDescent="0.35">
      <c r="A28" s="6" t="s">
        <v>8</v>
      </c>
      <c r="B28" s="6" t="s">
        <v>9</v>
      </c>
      <c r="C28" s="7">
        <v>2015</v>
      </c>
      <c r="D28" s="8">
        <f t="shared" si="4"/>
        <v>38</v>
      </c>
      <c r="E28" s="9">
        <v>1.08657</v>
      </c>
      <c r="F28" s="9">
        <v>30.352499999999999</v>
      </c>
      <c r="G28" s="10">
        <v>1</v>
      </c>
      <c r="H28" s="9">
        <f t="shared" si="5"/>
        <v>0.75</v>
      </c>
      <c r="I28" s="9">
        <v>6.8000000000000005E-2</v>
      </c>
      <c r="J28" s="9">
        <v>2.3844599999999998</v>
      </c>
      <c r="K28" s="9">
        <v>0.1419</v>
      </c>
      <c r="L28" s="9">
        <v>1.3</v>
      </c>
      <c r="M28" s="11">
        <v>2.5640299999999998</v>
      </c>
      <c r="N28" s="11">
        <v>45.951810000000002</v>
      </c>
      <c r="O28" s="11">
        <v>0.97824</v>
      </c>
      <c r="P28" s="11">
        <v>49.494079999999997</v>
      </c>
      <c r="Q28" s="7"/>
    </row>
    <row r="29" spans="1:21" ht="12.75" customHeight="1" x14ac:dyDescent="0.35">
      <c r="A29" s="6" t="s">
        <v>8</v>
      </c>
      <c r="B29" s="6" t="s">
        <v>9</v>
      </c>
      <c r="C29" s="7">
        <v>2016</v>
      </c>
      <c r="D29" s="8">
        <f t="shared" si="4"/>
        <v>39</v>
      </c>
      <c r="E29" s="9">
        <v>0.96062999999999998</v>
      </c>
      <c r="F29" s="9">
        <v>30.393000000000001</v>
      </c>
      <c r="G29" s="10">
        <v>1</v>
      </c>
      <c r="H29" s="9">
        <v>0.75</v>
      </c>
      <c r="I29" s="9">
        <v>6.3899999999999998E-2</v>
      </c>
      <c r="J29" s="9">
        <v>2.0028800000000002</v>
      </c>
      <c r="K29" s="9">
        <v>0.12520000000000001</v>
      </c>
      <c r="L29" s="9">
        <v>0.96099999999999997</v>
      </c>
      <c r="M29" s="11">
        <v>1.7861400000000001</v>
      </c>
      <c r="N29" s="11">
        <v>37.136679999999998</v>
      </c>
      <c r="O29" s="11">
        <v>0.97306999999999999</v>
      </c>
      <c r="P29" s="11">
        <v>39.895890000000001</v>
      </c>
      <c r="Q29" s="7"/>
    </row>
    <row r="30" spans="1:21" ht="12.75" customHeight="1" x14ac:dyDescent="0.35">
      <c r="A30" s="6" t="s">
        <v>8</v>
      </c>
      <c r="B30" s="6" t="s">
        <v>9</v>
      </c>
      <c r="C30" s="7">
        <v>2017</v>
      </c>
      <c r="D30" s="8">
        <f t="shared" si="4"/>
        <v>40</v>
      </c>
      <c r="E30" s="9">
        <v>0.86311000000000004</v>
      </c>
      <c r="F30" s="9">
        <v>30.453800000000001</v>
      </c>
      <c r="G30" s="10">
        <v>1</v>
      </c>
      <c r="H30" s="9">
        <v>0.66666666666666663</v>
      </c>
      <c r="I30" s="9">
        <v>7.1400000000000005E-2</v>
      </c>
      <c r="J30" s="9">
        <v>1.9754700000000001</v>
      </c>
      <c r="K30" s="9">
        <v>0.1331</v>
      </c>
      <c r="L30" s="9">
        <v>1.0901000000000001</v>
      </c>
      <c r="M30" s="11">
        <v>1.8927700000000001</v>
      </c>
      <c r="N30" s="11">
        <v>45.796370000000003</v>
      </c>
      <c r="O30" s="11">
        <v>0.97816000000000003</v>
      </c>
      <c r="P30" s="11">
        <v>48.667310000000001</v>
      </c>
      <c r="Q30" s="7"/>
    </row>
    <row r="31" spans="1:21" ht="12.75" customHeight="1" x14ac:dyDescent="0.35">
      <c r="A31" s="6" t="s">
        <v>8</v>
      </c>
      <c r="B31" s="6" t="s">
        <v>9</v>
      </c>
      <c r="C31" s="7">
        <v>2018</v>
      </c>
      <c r="D31" s="8">
        <v>41</v>
      </c>
      <c r="E31" s="9">
        <v>1.0089999999999999</v>
      </c>
      <c r="F31" s="9">
        <v>30.623999999999999</v>
      </c>
      <c r="G31" s="17">
        <v>1</v>
      </c>
      <c r="H31" s="9">
        <v>0.66669999999999996</v>
      </c>
      <c r="I31" s="9">
        <v>8.2000000000000003E-2</v>
      </c>
      <c r="J31" s="9">
        <v>1.3660000000000001</v>
      </c>
      <c r="K31" s="9">
        <v>0.16600000000000001</v>
      </c>
      <c r="L31" s="9">
        <v>1.181</v>
      </c>
      <c r="M31" s="11">
        <v>2.31385</v>
      </c>
      <c r="N31" s="11">
        <v>56.775550000000003</v>
      </c>
      <c r="O31" s="11">
        <v>0.98238999999999999</v>
      </c>
      <c r="P31" s="11">
        <v>60.071779999999997</v>
      </c>
      <c r="Q31" s="7"/>
    </row>
    <row r="32" spans="1:21" ht="12.75" customHeight="1" x14ac:dyDescent="0.35">
      <c r="A32" s="6" t="s">
        <v>8</v>
      </c>
      <c r="B32" s="6" t="s">
        <v>9</v>
      </c>
      <c r="C32" s="7">
        <v>2019</v>
      </c>
      <c r="D32" s="8">
        <v>42</v>
      </c>
      <c r="E32" s="9">
        <v>1.127</v>
      </c>
      <c r="F32" s="9">
        <v>30.695</v>
      </c>
      <c r="G32" s="17">
        <v>1</v>
      </c>
      <c r="H32" s="9">
        <v>0.66669999999999996</v>
      </c>
      <c r="I32" s="9">
        <v>3.3000000000000002E-2</v>
      </c>
      <c r="J32" s="9">
        <v>1.2709999999999999</v>
      </c>
      <c r="K32" s="9">
        <v>7.0000000000000007E-2</v>
      </c>
      <c r="L32" s="9">
        <v>1.014</v>
      </c>
      <c r="M32" s="11">
        <v>2.0891000000000002</v>
      </c>
      <c r="N32" s="11">
        <v>46.628</v>
      </c>
      <c r="O32" s="11">
        <v>0.97855000000000003</v>
      </c>
      <c r="P32" s="11">
        <v>49.695650000000001</v>
      </c>
      <c r="Q32" s="7"/>
    </row>
    <row r="33" spans="1:17" ht="12.75" customHeight="1" x14ac:dyDescent="0.35">
      <c r="A33" s="6" t="s">
        <v>8</v>
      </c>
      <c r="B33" s="6" t="s">
        <v>9</v>
      </c>
      <c r="C33" s="7">
        <v>2020</v>
      </c>
      <c r="D33" s="8">
        <v>43</v>
      </c>
      <c r="E33" s="9">
        <v>0.77</v>
      </c>
      <c r="F33" s="9">
        <v>30.559000000000001</v>
      </c>
      <c r="G33" s="17">
        <v>1</v>
      </c>
      <c r="H33" s="9">
        <v>0.66669999999999996</v>
      </c>
      <c r="I33" s="9">
        <v>5.0999999999999997E-2</v>
      </c>
      <c r="J33" s="9">
        <v>1.1180000000000001</v>
      </c>
      <c r="K33" s="9">
        <v>9.0999999999999998E-2</v>
      </c>
      <c r="L33" s="9">
        <v>0.94799999999999995</v>
      </c>
      <c r="M33" s="11">
        <v>1.60168</v>
      </c>
      <c r="N33" s="11">
        <v>31.743169999999999</v>
      </c>
      <c r="O33" s="11">
        <v>0.96850000000000003</v>
      </c>
      <c r="P33" s="11">
        <v>34.313339999999997</v>
      </c>
      <c r="Q33" s="7"/>
    </row>
    <row r="34" spans="1:17" ht="12.75" customHeight="1" x14ac:dyDescent="0.35">
      <c r="A34" s="6" t="s">
        <v>8</v>
      </c>
      <c r="B34" s="6" t="s">
        <v>9</v>
      </c>
      <c r="C34" s="7">
        <v>2021</v>
      </c>
      <c r="D34" s="8">
        <v>44</v>
      </c>
      <c r="E34" s="9">
        <v>1.081</v>
      </c>
      <c r="F34" s="9">
        <v>30.788</v>
      </c>
      <c r="G34" s="17">
        <v>1</v>
      </c>
      <c r="H34" s="9">
        <v>0.66669999999999996</v>
      </c>
      <c r="I34" s="9">
        <v>4.8000000000000001E-2</v>
      </c>
      <c r="J34" s="9">
        <v>1.2210000000000001</v>
      </c>
      <c r="K34" s="9">
        <v>0.1</v>
      </c>
      <c r="L34" s="9">
        <v>1.0940000000000001</v>
      </c>
      <c r="M34" s="11">
        <v>2.1803300000000001</v>
      </c>
      <c r="N34" s="11">
        <v>51.047330000000002</v>
      </c>
      <c r="O34" s="11">
        <v>0.98041</v>
      </c>
      <c r="P34" s="11">
        <v>54.208069999999999</v>
      </c>
      <c r="Q34" s="7"/>
    </row>
    <row r="35" spans="1:17" ht="12.75" customHeight="1" x14ac:dyDescent="0.35">
      <c r="A35" s="6" t="s">
        <v>8</v>
      </c>
      <c r="B35" s="6" t="s">
        <v>9</v>
      </c>
      <c r="C35" s="7">
        <v>2022</v>
      </c>
      <c r="D35" s="8">
        <v>45</v>
      </c>
      <c r="E35" s="9">
        <v>1.0669999999999999</v>
      </c>
      <c r="F35" s="9">
        <v>30.934000000000001</v>
      </c>
      <c r="G35" s="17">
        <v>1</v>
      </c>
      <c r="H35" s="9">
        <v>1</v>
      </c>
      <c r="I35" s="9">
        <v>9.0999999999999998E-2</v>
      </c>
      <c r="J35" s="9">
        <v>1.55</v>
      </c>
      <c r="K35" s="9">
        <v>0.188</v>
      </c>
      <c r="L35" s="9">
        <v>1.7490000000000001</v>
      </c>
      <c r="M35" s="11">
        <v>3.4035000000000002</v>
      </c>
      <c r="N35" s="11">
        <v>75.513679999999994</v>
      </c>
      <c r="O35" s="11">
        <v>0.98675999999999997</v>
      </c>
      <c r="P35" s="11">
        <v>79.903940000000006</v>
      </c>
      <c r="Q35" s="7"/>
    </row>
    <row r="36" spans="1:17" ht="12.75" customHeight="1" x14ac:dyDescent="0.35">
      <c r="A36" s="6" t="s">
        <v>10</v>
      </c>
      <c r="B36" s="6" t="s">
        <v>11</v>
      </c>
      <c r="C36" s="7">
        <v>2013</v>
      </c>
      <c r="D36" s="8">
        <f t="shared" ref="D36:D40" si="6">D37-1</f>
        <v>29</v>
      </c>
      <c r="E36" s="9">
        <v>14.97059</v>
      </c>
      <c r="F36" s="9">
        <v>29.572600000000001</v>
      </c>
      <c r="G36" s="10">
        <v>1</v>
      </c>
      <c r="H36" s="9">
        <f t="shared" ref="H36:H38" si="7">H37</f>
        <v>0.66666666666666663</v>
      </c>
      <c r="I36" s="9">
        <v>-1.49E-2</v>
      </c>
      <c r="J36" s="9">
        <v>1.7702899999999999</v>
      </c>
      <c r="K36" s="9">
        <v>-0.23849999999999999</v>
      </c>
      <c r="L36" s="9">
        <v>0.38929999999999998</v>
      </c>
      <c r="M36" s="11">
        <v>5.1948699999999999</v>
      </c>
      <c r="N36" s="11">
        <v>6.5418700000000003</v>
      </c>
      <c r="O36" s="11">
        <v>0.84714</v>
      </c>
      <c r="P36" s="11">
        <v>12.583880000000001</v>
      </c>
      <c r="Q36" s="7"/>
    </row>
    <row r="37" spans="1:17" ht="12.75" customHeight="1" x14ac:dyDescent="0.35">
      <c r="A37" s="6" t="s">
        <v>10</v>
      </c>
      <c r="B37" s="6" t="s">
        <v>11</v>
      </c>
      <c r="C37" s="7">
        <v>2014</v>
      </c>
      <c r="D37" s="8">
        <f t="shared" si="6"/>
        <v>30</v>
      </c>
      <c r="E37" s="9">
        <v>29.10183</v>
      </c>
      <c r="F37" s="9">
        <v>29.8553</v>
      </c>
      <c r="G37" s="10">
        <v>1</v>
      </c>
      <c r="H37" s="9">
        <f t="shared" si="7"/>
        <v>0.66666666666666663</v>
      </c>
      <c r="I37" s="9">
        <v>-2.0400000000000001E-2</v>
      </c>
      <c r="J37" s="9">
        <v>1.8741300000000001</v>
      </c>
      <c r="K37" s="9">
        <v>-0.61339999999999995</v>
      </c>
      <c r="L37" s="9">
        <v>0.32029999999999997</v>
      </c>
      <c r="M37" s="11">
        <v>8.8722100000000008</v>
      </c>
      <c r="N37" s="11">
        <v>6.3515699999999997</v>
      </c>
      <c r="O37" s="11">
        <v>0.84255999999999998</v>
      </c>
      <c r="P37" s="11">
        <v>16.066330000000001</v>
      </c>
      <c r="Q37" s="7"/>
    </row>
    <row r="38" spans="1:17" ht="12.75" customHeight="1" x14ac:dyDescent="0.35">
      <c r="A38" s="6" t="s">
        <v>10</v>
      </c>
      <c r="B38" s="6" t="s">
        <v>11</v>
      </c>
      <c r="C38" s="7">
        <v>2015</v>
      </c>
      <c r="D38" s="8">
        <f t="shared" si="6"/>
        <v>31</v>
      </c>
      <c r="E38" s="9">
        <v>14.3032</v>
      </c>
      <c r="F38" s="9">
        <v>29.8751</v>
      </c>
      <c r="G38" s="10">
        <v>1</v>
      </c>
      <c r="H38" s="9">
        <f t="shared" si="7"/>
        <v>0.66666666666666663</v>
      </c>
      <c r="I38" s="9">
        <v>2.8000000000000001E-2</v>
      </c>
      <c r="J38" s="9">
        <v>1.84622</v>
      </c>
      <c r="K38" s="9">
        <v>0.42920000000000003</v>
      </c>
      <c r="L38" s="9">
        <v>0.34970000000000001</v>
      </c>
      <c r="M38" s="11">
        <v>3.6769099999999999</v>
      </c>
      <c r="N38" s="11">
        <v>4.9789599999999998</v>
      </c>
      <c r="O38" s="11">
        <v>0.79915000000000003</v>
      </c>
      <c r="P38" s="11">
        <v>9.4550199999999993</v>
      </c>
      <c r="Q38" s="7"/>
    </row>
    <row r="39" spans="1:17" ht="12.75" customHeight="1" x14ac:dyDescent="0.35">
      <c r="A39" s="6" t="s">
        <v>10</v>
      </c>
      <c r="B39" s="6" t="s">
        <v>11</v>
      </c>
      <c r="C39" s="7">
        <v>2016</v>
      </c>
      <c r="D39" s="8">
        <f t="shared" si="6"/>
        <v>32</v>
      </c>
      <c r="E39" s="9">
        <v>24.299320000000002</v>
      </c>
      <c r="F39" s="9">
        <v>29.837199999999999</v>
      </c>
      <c r="G39" s="10">
        <v>1</v>
      </c>
      <c r="H39" s="9">
        <v>0.66666666666666663</v>
      </c>
      <c r="I39" s="9">
        <v>-2.87E-2</v>
      </c>
      <c r="J39" s="9">
        <v>1.47688</v>
      </c>
      <c r="K39" s="9">
        <v>-0.7258</v>
      </c>
      <c r="L39" s="9">
        <v>0.15409999999999999</v>
      </c>
      <c r="M39" s="11">
        <v>2.6570100000000001</v>
      </c>
      <c r="N39" s="11">
        <v>3.4256700000000002</v>
      </c>
      <c r="O39" s="11">
        <v>0.70809</v>
      </c>
      <c r="P39" s="11">
        <v>6.7907700000000002</v>
      </c>
      <c r="Q39" s="7"/>
    </row>
    <row r="40" spans="1:17" ht="12.75" customHeight="1" x14ac:dyDescent="0.35">
      <c r="A40" s="6" t="s">
        <v>10</v>
      </c>
      <c r="B40" s="6" t="s">
        <v>11</v>
      </c>
      <c r="C40" s="7">
        <v>2017</v>
      </c>
      <c r="D40" s="8">
        <f t="shared" si="6"/>
        <v>33</v>
      </c>
      <c r="E40" s="9">
        <v>-13.29142</v>
      </c>
      <c r="F40" s="9">
        <v>29.688500000000001</v>
      </c>
      <c r="G40" s="10">
        <v>1</v>
      </c>
      <c r="H40" s="9">
        <v>0.66666666666666663</v>
      </c>
      <c r="I40" s="9">
        <v>-0.17749999999999999</v>
      </c>
      <c r="J40" s="9">
        <v>1.68635</v>
      </c>
      <c r="K40" s="9">
        <v>2.1816</v>
      </c>
      <c r="L40" s="9">
        <v>0.12889999999999999</v>
      </c>
      <c r="M40" s="11">
        <v>-2.5600200000000002</v>
      </c>
      <c r="N40" s="11">
        <v>7.2027799999999997</v>
      </c>
      <c r="O40" s="11">
        <v>0.86116000000000004</v>
      </c>
      <c r="P40" s="11">
        <v>5.5039199999999999</v>
      </c>
      <c r="Q40" s="7"/>
    </row>
    <row r="41" spans="1:17" ht="12.75" customHeight="1" x14ac:dyDescent="0.35">
      <c r="A41" s="6" t="s">
        <v>10</v>
      </c>
      <c r="B41" s="6" t="s">
        <v>11</v>
      </c>
      <c r="C41" s="7">
        <v>2018</v>
      </c>
      <c r="D41" s="8">
        <v>34</v>
      </c>
      <c r="E41" s="9">
        <v>-4.4249999999999998</v>
      </c>
      <c r="F41" s="9">
        <v>29.658000000000001</v>
      </c>
      <c r="G41" s="17">
        <v>1</v>
      </c>
      <c r="H41" s="9">
        <v>0.66669999999999996</v>
      </c>
      <c r="I41" s="9">
        <v>-0.20200000000000001</v>
      </c>
      <c r="J41" s="9">
        <v>1.8919999999999999</v>
      </c>
      <c r="K41" s="9">
        <v>0.69099999999999995</v>
      </c>
      <c r="L41" s="9">
        <v>0.17799999999999999</v>
      </c>
      <c r="M41" s="11">
        <v>-0.90329999999999999</v>
      </c>
      <c r="N41" s="11">
        <v>6.7814199999999998</v>
      </c>
      <c r="O41" s="11">
        <v>0.85253999999999996</v>
      </c>
      <c r="P41" s="11">
        <v>6.7306600000000003</v>
      </c>
      <c r="Q41" s="7"/>
    </row>
    <row r="42" spans="1:17" ht="12.75" customHeight="1" x14ac:dyDescent="0.35">
      <c r="A42" s="6" t="s">
        <v>10</v>
      </c>
      <c r="B42" s="6" t="s">
        <v>11</v>
      </c>
      <c r="C42" s="7">
        <v>2019</v>
      </c>
      <c r="D42" s="8">
        <v>35</v>
      </c>
      <c r="E42" s="9">
        <v>7.8949999999999996</v>
      </c>
      <c r="F42" s="9">
        <v>29.571000000000002</v>
      </c>
      <c r="G42" s="17">
        <v>0</v>
      </c>
      <c r="H42" s="9">
        <v>0.66669999999999996</v>
      </c>
      <c r="I42" s="9">
        <v>4.1000000000000002E-2</v>
      </c>
      <c r="J42" s="9">
        <v>1.0269999999999999</v>
      </c>
      <c r="K42" s="9">
        <v>0.36199999999999999</v>
      </c>
      <c r="L42" s="9">
        <v>0.188</v>
      </c>
      <c r="M42" s="11">
        <v>1.6656500000000001</v>
      </c>
      <c r="N42" s="11">
        <v>4.6465699999999996</v>
      </c>
      <c r="O42" s="11">
        <v>0.78478999999999999</v>
      </c>
      <c r="P42" s="11">
        <v>7.09701</v>
      </c>
      <c r="Q42" s="7"/>
    </row>
    <row r="43" spans="1:17" ht="12.75" customHeight="1" x14ac:dyDescent="0.35">
      <c r="A43" s="6" t="s">
        <v>10</v>
      </c>
      <c r="B43" s="6" t="s">
        <v>11</v>
      </c>
      <c r="C43" s="7">
        <v>2020</v>
      </c>
      <c r="D43" s="8">
        <v>36</v>
      </c>
      <c r="E43" s="9">
        <v>1.6539999999999999</v>
      </c>
      <c r="F43" s="9">
        <v>29.187999999999999</v>
      </c>
      <c r="G43" s="17">
        <v>0</v>
      </c>
      <c r="H43" s="9">
        <v>0.66669999999999996</v>
      </c>
      <c r="I43" s="9">
        <v>0.13200000000000001</v>
      </c>
      <c r="J43" s="9">
        <v>0.86499999999999999</v>
      </c>
      <c r="K43" s="9">
        <v>0.35099999999999998</v>
      </c>
      <c r="L43" s="9">
        <v>0</v>
      </c>
      <c r="M43" s="11">
        <v>-3.5839999999999997E-2</v>
      </c>
      <c r="N43" s="11">
        <v>-0.30723</v>
      </c>
      <c r="O43" s="11">
        <v>4.25488</v>
      </c>
      <c r="P43" s="11">
        <v>3.9117999999999999</v>
      </c>
      <c r="Q43" s="7"/>
    </row>
    <row r="44" spans="1:17" ht="12.75" customHeight="1" x14ac:dyDescent="0.35">
      <c r="A44" s="6" t="s">
        <v>10</v>
      </c>
      <c r="B44" s="6" t="s">
        <v>11</v>
      </c>
      <c r="C44" s="7">
        <v>2021</v>
      </c>
      <c r="D44" s="8">
        <v>37</v>
      </c>
      <c r="E44" s="9">
        <v>1.726</v>
      </c>
      <c r="F44" s="9">
        <v>29.260999999999999</v>
      </c>
      <c r="G44" s="17">
        <v>0</v>
      </c>
      <c r="H44" s="9">
        <v>0.66669999999999996</v>
      </c>
      <c r="I44" s="9">
        <v>0.01</v>
      </c>
      <c r="J44" s="9">
        <v>1.099</v>
      </c>
      <c r="K44" s="9">
        <v>2.8000000000000001E-2</v>
      </c>
      <c r="L44" s="9">
        <v>0</v>
      </c>
      <c r="M44" s="11">
        <v>0.48416999999999999</v>
      </c>
      <c r="N44" s="11">
        <v>4.3313800000000002</v>
      </c>
      <c r="O44" s="11">
        <v>0.76912999999999998</v>
      </c>
      <c r="P44" s="11">
        <v>5.58467</v>
      </c>
      <c r="Q44" s="7"/>
    </row>
    <row r="45" spans="1:17" ht="12.75" customHeight="1" x14ac:dyDescent="0.35">
      <c r="A45" s="6" t="s">
        <v>10</v>
      </c>
      <c r="B45" s="6" t="s">
        <v>11</v>
      </c>
      <c r="C45" s="7">
        <v>2022</v>
      </c>
      <c r="D45" s="8">
        <v>38</v>
      </c>
      <c r="E45" s="9">
        <v>2.96</v>
      </c>
      <c r="F45" s="9">
        <v>29.050999999999998</v>
      </c>
      <c r="G45" s="17">
        <v>0</v>
      </c>
      <c r="H45" s="9">
        <v>0.66669999999999996</v>
      </c>
      <c r="I45" s="9">
        <v>-0.246</v>
      </c>
      <c r="J45" s="9">
        <v>0.86199999999999999</v>
      </c>
      <c r="K45" s="9">
        <v>-0.97499999999999998</v>
      </c>
      <c r="L45" s="9">
        <v>0.308</v>
      </c>
      <c r="M45" s="11">
        <v>2.5683600000000002</v>
      </c>
      <c r="N45" s="11">
        <v>9.8586200000000002</v>
      </c>
      <c r="O45" s="11">
        <v>0.89856999999999998</v>
      </c>
      <c r="P45" s="11">
        <v>13.32555</v>
      </c>
      <c r="Q45" s="7"/>
    </row>
    <row r="46" spans="1:17" ht="12.75" customHeight="1" x14ac:dyDescent="0.35">
      <c r="A46" s="6" t="s">
        <v>12</v>
      </c>
      <c r="B46" s="6" t="s">
        <v>13</v>
      </c>
      <c r="C46" s="7">
        <v>2012</v>
      </c>
      <c r="D46" s="8">
        <f t="shared" ref="D46:D50" si="8">D47-1</f>
        <v>6</v>
      </c>
      <c r="E46" s="9">
        <v>1.0727100000000001</v>
      </c>
      <c r="F46" s="9">
        <v>28.662700000000001</v>
      </c>
      <c r="G46" s="10">
        <v>1</v>
      </c>
      <c r="H46" s="9">
        <f t="shared" ref="H46:H48" si="9">H47</f>
        <v>1</v>
      </c>
      <c r="I46" s="9">
        <v>-3.56E-2</v>
      </c>
      <c r="J46" s="9">
        <v>2.0893299999999999</v>
      </c>
      <c r="K46" s="9">
        <v>-7.3800000000000004E-2</v>
      </c>
      <c r="L46" s="9">
        <v>0.3251</v>
      </c>
      <c r="M46" s="11">
        <v>0.81579000000000002</v>
      </c>
      <c r="N46" s="11">
        <v>10.77556</v>
      </c>
      <c r="O46" s="11">
        <v>0.90720000000000001</v>
      </c>
      <c r="P46" s="11">
        <v>12.49855</v>
      </c>
      <c r="Q46" s="7"/>
    </row>
    <row r="47" spans="1:17" ht="12.75" customHeight="1" x14ac:dyDescent="0.35">
      <c r="A47" s="6" t="s">
        <v>12</v>
      </c>
      <c r="B47" s="6" t="s">
        <v>13</v>
      </c>
      <c r="C47" s="7">
        <v>2013</v>
      </c>
      <c r="D47" s="8">
        <f t="shared" si="8"/>
        <v>7</v>
      </c>
      <c r="E47" s="9">
        <v>1.37734</v>
      </c>
      <c r="F47" s="9">
        <v>28.8263</v>
      </c>
      <c r="G47" s="10">
        <v>0</v>
      </c>
      <c r="H47" s="9">
        <f t="shared" si="9"/>
        <v>1</v>
      </c>
      <c r="I47" s="9">
        <v>-3.3799999999999997E-2</v>
      </c>
      <c r="J47" s="9">
        <v>1.24028</v>
      </c>
      <c r="K47" s="9">
        <v>-8.0299999999999996E-2</v>
      </c>
      <c r="L47" s="9">
        <v>0.36280000000000001</v>
      </c>
      <c r="M47" s="11">
        <v>1.08717</v>
      </c>
      <c r="N47" s="11">
        <v>7.6778399999999998</v>
      </c>
      <c r="O47" s="11">
        <v>0.86975000000000002</v>
      </c>
      <c r="P47" s="11">
        <v>9.63476</v>
      </c>
      <c r="Q47" s="7"/>
    </row>
    <row r="48" spans="1:17" ht="12.75" customHeight="1" x14ac:dyDescent="0.35">
      <c r="A48" s="6" t="s">
        <v>12</v>
      </c>
      <c r="B48" s="6" t="s">
        <v>13</v>
      </c>
      <c r="C48" s="7">
        <v>2015</v>
      </c>
      <c r="D48" s="8">
        <f t="shared" si="8"/>
        <v>8</v>
      </c>
      <c r="E48" s="9">
        <v>3.2867600000000001</v>
      </c>
      <c r="F48" s="9">
        <v>29.180099999999999</v>
      </c>
      <c r="G48" s="10">
        <v>0</v>
      </c>
      <c r="H48" s="9">
        <f t="shared" si="9"/>
        <v>1</v>
      </c>
      <c r="I48" s="9">
        <v>-7.1499999999999994E-2</v>
      </c>
      <c r="J48" s="9">
        <v>1.0140100000000001</v>
      </c>
      <c r="K48" s="9">
        <v>-0.30640000000000001</v>
      </c>
      <c r="L48" s="9">
        <v>8.0600000000000005E-2</v>
      </c>
      <c r="M48" s="11">
        <v>0.62863999999999998</v>
      </c>
      <c r="N48" s="11">
        <v>8.9844899999999992</v>
      </c>
      <c r="O48" s="11">
        <v>0.88870000000000005</v>
      </c>
      <c r="P48" s="11">
        <v>10.50182</v>
      </c>
      <c r="Q48" s="7"/>
    </row>
    <row r="49" spans="1:17" ht="12.75" customHeight="1" x14ac:dyDescent="0.35">
      <c r="A49" s="6" t="s">
        <v>12</v>
      </c>
      <c r="B49" s="6" t="s">
        <v>13</v>
      </c>
      <c r="C49" s="7">
        <v>2016</v>
      </c>
      <c r="D49" s="8">
        <f t="shared" si="8"/>
        <v>9</v>
      </c>
      <c r="E49" s="9">
        <v>4.8669399999999996</v>
      </c>
      <c r="F49" s="9">
        <v>29.111000000000001</v>
      </c>
      <c r="G49" s="10">
        <v>0</v>
      </c>
      <c r="H49" s="9">
        <v>1</v>
      </c>
      <c r="I49" s="9">
        <v>-7.3999999999999996E-2</v>
      </c>
      <c r="J49" s="9">
        <v>1.1812499999999999</v>
      </c>
      <c r="K49" s="9">
        <v>-0.43419999999999997</v>
      </c>
      <c r="L49" s="9">
        <v>3.5299999999999998E-2</v>
      </c>
      <c r="M49" s="11">
        <v>0.42848999999999998</v>
      </c>
      <c r="N49" s="11">
        <v>5.71462</v>
      </c>
      <c r="O49" s="11">
        <v>0.82501000000000002</v>
      </c>
      <c r="P49" s="11">
        <v>6.9681300000000004</v>
      </c>
      <c r="Q49" s="7"/>
    </row>
    <row r="50" spans="1:17" ht="12.75" customHeight="1" x14ac:dyDescent="0.35">
      <c r="A50" s="6" t="s">
        <v>12</v>
      </c>
      <c r="B50" s="6" t="s">
        <v>13</v>
      </c>
      <c r="C50" s="7">
        <v>2017</v>
      </c>
      <c r="D50" s="8">
        <f t="shared" si="8"/>
        <v>10</v>
      </c>
      <c r="E50" s="9">
        <v>7.2246899999999998</v>
      </c>
      <c r="F50" s="9">
        <v>29.119599999999998</v>
      </c>
      <c r="G50" s="10">
        <v>0</v>
      </c>
      <c r="H50" s="9">
        <v>1</v>
      </c>
      <c r="I50" s="9">
        <v>-4.7500000000000001E-2</v>
      </c>
      <c r="J50" s="9">
        <v>1.54193</v>
      </c>
      <c r="K50" s="9">
        <v>-0.39019999999999999</v>
      </c>
      <c r="L50" s="9">
        <v>8.7800000000000003E-2</v>
      </c>
      <c r="M50" s="11">
        <v>0.80810000000000004</v>
      </c>
      <c r="N50" s="11">
        <v>6.5848399999999998</v>
      </c>
      <c r="O50" s="11">
        <v>0.84814000000000001</v>
      </c>
      <c r="P50" s="11">
        <v>8.2410700000000006</v>
      </c>
      <c r="Q50" s="7"/>
    </row>
    <row r="51" spans="1:17" ht="12.75" customHeight="1" x14ac:dyDescent="0.35">
      <c r="A51" s="6" t="s">
        <v>12</v>
      </c>
      <c r="B51" s="6" t="s">
        <v>13</v>
      </c>
      <c r="C51" s="7">
        <v>2018</v>
      </c>
      <c r="D51" s="8">
        <v>11</v>
      </c>
      <c r="E51" s="9">
        <v>34.055999999999997</v>
      </c>
      <c r="F51" s="9">
        <v>29.271999999999998</v>
      </c>
      <c r="G51" s="17">
        <v>0</v>
      </c>
      <c r="H51" s="9">
        <v>1</v>
      </c>
      <c r="I51" s="9">
        <v>-8.1000000000000003E-2</v>
      </c>
      <c r="J51" s="9">
        <v>1.504</v>
      </c>
      <c r="K51" s="9">
        <v>-2.8340000000000001</v>
      </c>
      <c r="L51" s="9">
        <v>0.109</v>
      </c>
      <c r="M51" s="11">
        <v>5.7554600000000002</v>
      </c>
      <c r="N51" s="11">
        <v>8.8762899999999991</v>
      </c>
      <c r="O51" s="11">
        <v>0.88734000000000002</v>
      </c>
      <c r="P51" s="11">
        <v>15.51909</v>
      </c>
      <c r="Q51" s="7"/>
    </row>
    <row r="52" spans="1:17" ht="12.75" customHeight="1" x14ac:dyDescent="0.35">
      <c r="A52" s="6" t="s">
        <v>12</v>
      </c>
      <c r="B52" s="6" t="s">
        <v>13</v>
      </c>
      <c r="C52" s="7">
        <v>2019</v>
      </c>
      <c r="D52" s="8">
        <v>12</v>
      </c>
      <c r="E52" s="9">
        <v>6.9020000000000001</v>
      </c>
      <c r="F52" s="9">
        <v>29.251999999999999</v>
      </c>
      <c r="G52" s="17">
        <v>0</v>
      </c>
      <c r="H52" s="9">
        <v>1</v>
      </c>
      <c r="I52" s="9">
        <v>-1.4999999999999999E-2</v>
      </c>
      <c r="J52" s="9">
        <v>1.3520000000000001</v>
      </c>
      <c r="K52" s="9">
        <v>-0.12</v>
      </c>
      <c r="L52" s="9">
        <v>0.17299999999999999</v>
      </c>
      <c r="M52" s="11">
        <v>1.2769299999999999</v>
      </c>
      <c r="N52" s="11">
        <v>10.42414</v>
      </c>
      <c r="O52" s="11">
        <v>0.90407000000000004</v>
      </c>
      <c r="P52" s="11">
        <v>12.60514</v>
      </c>
      <c r="Q52" s="7"/>
    </row>
    <row r="53" spans="1:17" ht="12.75" customHeight="1" x14ac:dyDescent="0.35">
      <c r="A53" s="6" t="s">
        <v>12</v>
      </c>
      <c r="B53" s="6" t="s">
        <v>13</v>
      </c>
      <c r="C53" s="7">
        <v>2020</v>
      </c>
      <c r="D53" s="8">
        <v>13</v>
      </c>
      <c r="E53" s="9">
        <v>11.788</v>
      </c>
      <c r="F53" s="9">
        <v>29.257999999999999</v>
      </c>
      <c r="G53" s="17">
        <v>0</v>
      </c>
      <c r="H53" s="9">
        <v>1</v>
      </c>
      <c r="I53" s="9">
        <v>-4.4999999999999998E-2</v>
      </c>
      <c r="J53" s="9">
        <v>1.1890000000000001</v>
      </c>
      <c r="K53" s="9">
        <v>-0.58099999999999996</v>
      </c>
      <c r="L53" s="9">
        <v>0.11700000000000001</v>
      </c>
      <c r="M53" s="11">
        <v>2.0607500000000001</v>
      </c>
      <c r="N53" s="11">
        <v>11.230829999999999</v>
      </c>
      <c r="O53" s="11">
        <v>0.91095999999999999</v>
      </c>
      <c r="P53" s="11">
        <v>14.202540000000001</v>
      </c>
      <c r="Q53" s="7"/>
    </row>
    <row r="54" spans="1:17" ht="12.75" customHeight="1" x14ac:dyDescent="0.35">
      <c r="A54" s="6" t="s">
        <v>12</v>
      </c>
      <c r="B54" s="6" t="s">
        <v>13</v>
      </c>
      <c r="C54" s="7">
        <v>2021</v>
      </c>
      <c r="D54" s="8">
        <v>14</v>
      </c>
      <c r="E54" s="9">
        <v>8.4529999999999994</v>
      </c>
      <c r="F54" s="9">
        <v>29.292999999999999</v>
      </c>
      <c r="G54" s="17">
        <v>0</v>
      </c>
      <c r="H54" s="9">
        <v>1</v>
      </c>
      <c r="I54" s="9">
        <v>2E-3</v>
      </c>
      <c r="J54" s="9">
        <v>1.0569999999999999</v>
      </c>
      <c r="K54" s="9">
        <v>2.3E-2</v>
      </c>
      <c r="L54" s="9">
        <v>0.312</v>
      </c>
      <c r="M54" s="11">
        <v>2.65571</v>
      </c>
      <c r="N54" s="11">
        <v>18.013359999999999</v>
      </c>
      <c r="O54" s="11">
        <v>0.94449000000000005</v>
      </c>
      <c r="P54" s="11">
        <v>21.61355</v>
      </c>
      <c r="Q54" s="7"/>
    </row>
    <row r="55" spans="1:17" ht="12.75" customHeight="1" x14ac:dyDescent="0.35">
      <c r="A55" s="6" t="s">
        <v>12</v>
      </c>
      <c r="B55" s="6" t="s">
        <v>13</v>
      </c>
      <c r="C55" s="7">
        <v>2022</v>
      </c>
      <c r="D55" s="8">
        <v>15</v>
      </c>
      <c r="E55" s="9">
        <v>5.3890000000000002</v>
      </c>
      <c r="F55" s="9">
        <v>29.585000000000001</v>
      </c>
      <c r="G55" s="17">
        <v>0</v>
      </c>
      <c r="H55" s="9">
        <v>1</v>
      </c>
      <c r="I55" s="9">
        <v>5.8000000000000003E-2</v>
      </c>
      <c r="J55" s="9">
        <v>0.98699999999999999</v>
      </c>
      <c r="K55" s="9">
        <v>0.371</v>
      </c>
      <c r="L55" s="9">
        <v>0.54800000000000004</v>
      </c>
      <c r="M55" s="11">
        <v>2.5446499999999999</v>
      </c>
      <c r="N55" s="11">
        <v>28.09159</v>
      </c>
      <c r="O55" s="11">
        <v>0.96440000000000003</v>
      </c>
      <c r="P55" s="11">
        <v>31.600639999999999</v>
      </c>
      <c r="Q55" s="7"/>
    </row>
    <row r="56" spans="1:17" ht="12.75" customHeight="1" x14ac:dyDescent="0.35">
      <c r="A56" s="6" t="s">
        <v>14</v>
      </c>
      <c r="B56" s="6" t="s">
        <v>15</v>
      </c>
      <c r="C56" s="7">
        <v>2012</v>
      </c>
      <c r="D56" s="8">
        <f t="shared" ref="D56:D61" si="10">D57-1</f>
        <v>19</v>
      </c>
      <c r="E56" s="9">
        <v>0.67364999999999997</v>
      </c>
      <c r="F56" s="9">
        <v>27.990300000000001</v>
      </c>
      <c r="G56" s="10">
        <v>0</v>
      </c>
      <c r="H56" s="9">
        <f t="shared" ref="H56:H59" si="11">H57</f>
        <v>0.66666666666666663</v>
      </c>
      <c r="I56" s="9">
        <v>2.2100000000000002E-2</v>
      </c>
      <c r="J56" s="9">
        <v>0.68715000000000004</v>
      </c>
      <c r="K56" s="9">
        <v>3.6900000000000002E-2</v>
      </c>
      <c r="L56" s="9">
        <v>0.31380000000000002</v>
      </c>
      <c r="M56" s="11">
        <v>0.58016000000000001</v>
      </c>
      <c r="N56" s="11">
        <v>3.0528400000000002</v>
      </c>
      <c r="O56" s="11">
        <v>0.67244000000000004</v>
      </c>
      <c r="P56" s="11">
        <v>4.3054399999999999</v>
      </c>
      <c r="Q56" s="7"/>
    </row>
    <row r="57" spans="1:17" ht="12.75" customHeight="1" x14ac:dyDescent="0.35">
      <c r="A57" s="6" t="s">
        <v>14</v>
      </c>
      <c r="B57" s="6" t="s">
        <v>15</v>
      </c>
      <c r="C57" s="7">
        <v>2013</v>
      </c>
      <c r="D57" s="8">
        <f t="shared" si="10"/>
        <v>20</v>
      </c>
      <c r="E57" s="9">
        <v>0.69996999999999998</v>
      </c>
      <c r="F57" s="9">
        <v>28.0868</v>
      </c>
      <c r="G57" s="10">
        <v>0</v>
      </c>
      <c r="H57" s="9">
        <f t="shared" si="11"/>
        <v>0.66666666666666663</v>
      </c>
      <c r="I57" s="9">
        <v>2.5700000000000001E-2</v>
      </c>
      <c r="J57" s="9">
        <v>0.59167000000000003</v>
      </c>
      <c r="K57" s="9">
        <v>4.36E-2</v>
      </c>
      <c r="L57" s="9">
        <v>0.25650000000000001</v>
      </c>
      <c r="M57" s="11">
        <v>0.25447999999999998</v>
      </c>
      <c r="N57" s="11">
        <v>4.7616300000000003</v>
      </c>
      <c r="O57" s="11">
        <v>0.78998999999999997</v>
      </c>
      <c r="P57" s="11">
        <v>5.8060999999999998</v>
      </c>
      <c r="Q57" s="7"/>
    </row>
    <row r="58" spans="1:17" ht="12.75" customHeight="1" x14ac:dyDescent="0.35">
      <c r="A58" s="6" t="s">
        <v>14</v>
      </c>
      <c r="B58" s="6" t="s">
        <v>15</v>
      </c>
      <c r="C58" s="7">
        <v>2014</v>
      </c>
      <c r="D58" s="8">
        <f t="shared" si="10"/>
        <v>21</v>
      </c>
      <c r="E58" s="9">
        <v>0.83467999999999998</v>
      </c>
      <c r="F58" s="9">
        <v>28.204000000000001</v>
      </c>
      <c r="G58" s="10">
        <v>0</v>
      </c>
      <c r="H58" s="9">
        <f t="shared" si="11"/>
        <v>0.66666666666666663</v>
      </c>
      <c r="I58" s="9">
        <v>1.67E-2</v>
      </c>
      <c r="J58" s="9">
        <v>0.54423999999999995</v>
      </c>
      <c r="K58" s="9">
        <v>3.0700000000000002E-2</v>
      </c>
      <c r="L58" s="9">
        <v>0.2016</v>
      </c>
      <c r="M58" s="11">
        <v>0.25947999999999999</v>
      </c>
      <c r="N58" s="11">
        <v>6.0860900000000004</v>
      </c>
      <c r="O58" s="11">
        <v>0.83569000000000004</v>
      </c>
      <c r="P58" s="11">
        <v>7.1812699999999996</v>
      </c>
      <c r="Q58" s="7"/>
    </row>
    <row r="59" spans="1:17" ht="12.75" customHeight="1" x14ac:dyDescent="0.35">
      <c r="A59" s="6" t="s">
        <v>14</v>
      </c>
      <c r="B59" s="6" t="s">
        <v>15</v>
      </c>
      <c r="C59" s="7">
        <v>2015</v>
      </c>
      <c r="D59" s="8">
        <f t="shared" si="10"/>
        <v>22</v>
      </c>
      <c r="E59" s="9">
        <v>0.45271</v>
      </c>
      <c r="F59" s="9">
        <v>28.526800000000001</v>
      </c>
      <c r="G59" s="10">
        <v>0</v>
      </c>
      <c r="H59" s="9">
        <f t="shared" si="11"/>
        <v>0.66666666666666663</v>
      </c>
      <c r="I59" s="9">
        <v>7.3000000000000001E-3</v>
      </c>
      <c r="J59" s="9">
        <v>0.85579000000000005</v>
      </c>
      <c r="K59" s="9">
        <v>1.06E-2</v>
      </c>
      <c r="L59" s="9">
        <v>9.2200000000000004E-2</v>
      </c>
      <c r="M59" s="11">
        <v>9.1380000000000003E-2</v>
      </c>
      <c r="N59" s="11">
        <v>2.2671700000000001</v>
      </c>
      <c r="O59" s="11">
        <v>0.55891999999999997</v>
      </c>
      <c r="P59" s="11">
        <v>2.9174799999999999</v>
      </c>
      <c r="Q59" s="7"/>
    </row>
    <row r="60" spans="1:17" ht="12.75" customHeight="1" x14ac:dyDescent="0.35">
      <c r="A60" s="6" t="s">
        <v>14</v>
      </c>
      <c r="B60" s="6" t="s">
        <v>15</v>
      </c>
      <c r="C60" s="7">
        <v>2016</v>
      </c>
      <c r="D60" s="8">
        <f t="shared" si="10"/>
        <v>23</v>
      </c>
      <c r="E60" s="9">
        <v>0.51158999999999999</v>
      </c>
      <c r="F60" s="9">
        <v>28.593</v>
      </c>
      <c r="G60" s="10">
        <v>0</v>
      </c>
      <c r="H60" s="9">
        <v>0.66666666666666663</v>
      </c>
      <c r="I60" s="9">
        <v>1.6999999999999999E-3</v>
      </c>
      <c r="J60" s="9">
        <v>0.48825000000000002</v>
      </c>
      <c r="K60" s="9">
        <v>2.5000000000000001E-3</v>
      </c>
      <c r="L60" s="9">
        <v>8.0299999999999996E-2</v>
      </c>
      <c r="M60" s="11">
        <v>7.8310000000000005E-2</v>
      </c>
      <c r="N60" s="11">
        <v>3.4341200000000001</v>
      </c>
      <c r="O60" s="11">
        <v>0.70879999999999999</v>
      </c>
      <c r="P60" s="11">
        <v>4.2212300000000003</v>
      </c>
      <c r="Q60" s="7"/>
    </row>
    <row r="61" spans="1:17" ht="12.75" customHeight="1" x14ac:dyDescent="0.35">
      <c r="A61" s="6" t="s">
        <v>14</v>
      </c>
      <c r="B61" s="6" t="s">
        <v>15</v>
      </c>
      <c r="C61" s="7">
        <v>2017</v>
      </c>
      <c r="D61" s="8">
        <f t="shared" si="10"/>
        <v>24</v>
      </c>
      <c r="E61" s="9">
        <v>0.42376000000000003</v>
      </c>
      <c r="F61" s="9">
        <v>28.549700000000001</v>
      </c>
      <c r="G61" s="10">
        <v>0</v>
      </c>
      <c r="H61" s="9">
        <v>0.66666666666666663</v>
      </c>
      <c r="I61" s="9">
        <v>4.1000000000000003E-3</v>
      </c>
      <c r="J61" s="9">
        <v>0.45406000000000002</v>
      </c>
      <c r="K61" s="9">
        <v>5.7999999999999996E-3</v>
      </c>
      <c r="L61" s="9">
        <v>9.9699999999999997E-2</v>
      </c>
      <c r="M61" s="11">
        <v>8.1930000000000003E-2</v>
      </c>
      <c r="N61" s="11">
        <v>2.77067</v>
      </c>
      <c r="O61" s="11">
        <v>0.63907999999999998</v>
      </c>
      <c r="P61" s="11">
        <v>3.4916900000000002</v>
      </c>
      <c r="Q61" s="7"/>
    </row>
    <row r="62" spans="1:17" ht="12.75" customHeight="1" x14ac:dyDescent="0.35">
      <c r="A62" s="6" t="s">
        <v>14</v>
      </c>
      <c r="B62" s="6" t="s">
        <v>15</v>
      </c>
      <c r="C62" s="7">
        <v>2018</v>
      </c>
      <c r="D62" s="8">
        <v>25</v>
      </c>
      <c r="E62" s="9">
        <v>0.502</v>
      </c>
      <c r="F62" s="9">
        <v>28.620999999999999</v>
      </c>
      <c r="G62" s="17">
        <v>0</v>
      </c>
      <c r="H62" s="9">
        <v>0.66669999999999996</v>
      </c>
      <c r="I62" s="9">
        <v>4.0000000000000001E-3</v>
      </c>
      <c r="J62" s="9">
        <v>0.48</v>
      </c>
      <c r="K62" s="9">
        <v>6.0000000000000001E-3</v>
      </c>
      <c r="L62" s="9">
        <v>0.113</v>
      </c>
      <c r="M62" s="11">
        <v>0.10105</v>
      </c>
      <c r="N62" s="11">
        <v>2.9252600000000002</v>
      </c>
      <c r="O62" s="11">
        <v>0.65815000000000001</v>
      </c>
      <c r="P62" s="11">
        <v>3.6844600000000001</v>
      </c>
      <c r="Q62" s="7"/>
    </row>
    <row r="63" spans="1:17" ht="12.75" customHeight="1" x14ac:dyDescent="0.35">
      <c r="A63" s="6" t="s">
        <v>14</v>
      </c>
      <c r="B63" s="6" t="s">
        <v>15</v>
      </c>
      <c r="C63" s="7">
        <v>2019</v>
      </c>
      <c r="D63" s="8">
        <v>26</v>
      </c>
      <c r="E63" s="9">
        <v>1.2290000000000001</v>
      </c>
      <c r="F63" s="9">
        <v>28.210999999999999</v>
      </c>
      <c r="G63" s="17">
        <v>0</v>
      </c>
      <c r="H63" s="9">
        <v>0.66669999999999996</v>
      </c>
      <c r="I63" s="9">
        <v>-0.55600000000000005</v>
      </c>
      <c r="J63" s="9">
        <v>0.77100000000000002</v>
      </c>
      <c r="K63" s="9">
        <v>-1.238</v>
      </c>
      <c r="L63" s="9">
        <v>9.7000000000000003E-2</v>
      </c>
      <c r="M63" s="11">
        <v>0.55306999999999995</v>
      </c>
      <c r="N63" s="11">
        <v>5.2787199999999999</v>
      </c>
      <c r="O63" s="11">
        <v>0.81055999999999995</v>
      </c>
      <c r="P63" s="11">
        <v>6.6423500000000004</v>
      </c>
      <c r="Q63" s="7"/>
    </row>
    <row r="64" spans="1:17" ht="12.75" customHeight="1" x14ac:dyDescent="0.35">
      <c r="A64" s="6" t="s">
        <v>14</v>
      </c>
      <c r="B64" s="6" t="s">
        <v>15</v>
      </c>
      <c r="C64" s="7">
        <v>2020</v>
      </c>
      <c r="D64" s="8">
        <v>27</v>
      </c>
      <c r="E64" s="9">
        <v>-6.4749999999999996</v>
      </c>
      <c r="F64" s="9">
        <v>27.472000000000001</v>
      </c>
      <c r="G64" s="17">
        <v>0</v>
      </c>
      <c r="H64" s="9">
        <v>0.66669999999999996</v>
      </c>
      <c r="I64" s="9">
        <v>-1.1220000000000001</v>
      </c>
      <c r="J64" s="9">
        <v>1.6419999999999999</v>
      </c>
      <c r="K64" s="9">
        <v>6.1420000000000003</v>
      </c>
      <c r="L64" s="9">
        <v>3.7999999999999999E-2</v>
      </c>
      <c r="M64" s="11">
        <v>-0.42579</v>
      </c>
      <c r="N64" s="11">
        <v>2.31576</v>
      </c>
      <c r="O64" s="11">
        <v>0.56818000000000002</v>
      </c>
      <c r="P64" s="11">
        <v>2.4581400000000002</v>
      </c>
      <c r="Q64" s="7"/>
    </row>
    <row r="65" spans="1:17" ht="12.75" customHeight="1" x14ac:dyDescent="0.35">
      <c r="A65" s="6" t="s">
        <v>14</v>
      </c>
      <c r="B65" s="6" t="s">
        <v>15</v>
      </c>
      <c r="C65" s="7">
        <v>2021</v>
      </c>
      <c r="D65" s="8">
        <v>28</v>
      </c>
      <c r="E65" s="9">
        <v>-7.5439999999999996</v>
      </c>
      <c r="F65" s="9">
        <v>27.190999999999999</v>
      </c>
      <c r="G65" s="17">
        <v>0</v>
      </c>
      <c r="H65" s="9">
        <v>0.66669999999999996</v>
      </c>
      <c r="I65" s="9">
        <v>-0.20799999999999999</v>
      </c>
      <c r="J65" s="9">
        <v>1.762</v>
      </c>
      <c r="K65" s="9">
        <v>1.3640000000000001</v>
      </c>
      <c r="L65" s="9">
        <v>8.9999999999999993E-3</v>
      </c>
      <c r="M65" s="11">
        <v>-0.91754999999999998</v>
      </c>
      <c r="N65" s="11">
        <v>10.17774</v>
      </c>
      <c r="O65" s="11">
        <v>0.90175000000000005</v>
      </c>
      <c r="P65" s="11">
        <v>10.16193</v>
      </c>
      <c r="Q65" s="7"/>
    </row>
    <row r="66" spans="1:17" ht="12.75" customHeight="1" x14ac:dyDescent="0.35">
      <c r="A66" s="6" t="s">
        <v>16</v>
      </c>
      <c r="B66" s="6" t="s">
        <v>17</v>
      </c>
      <c r="C66" s="7">
        <v>2013</v>
      </c>
      <c r="D66" s="8">
        <f t="shared" ref="D66:D70" si="12">D67-1</f>
        <v>15</v>
      </c>
      <c r="E66" s="9">
        <v>1.1753400000000001</v>
      </c>
      <c r="F66" s="9">
        <v>28.171500000000002</v>
      </c>
      <c r="G66" s="10">
        <v>0</v>
      </c>
      <c r="H66" s="9">
        <f t="shared" ref="H66:H68" si="13">H67</f>
        <v>0.66666666666666663</v>
      </c>
      <c r="I66" s="9">
        <v>3.3500000000000002E-2</v>
      </c>
      <c r="J66" s="9">
        <v>0.82701000000000002</v>
      </c>
      <c r="K66" s="9">
        <v>7.2800000000000004E-2</v>
      </c>
      <c r="L66" s="9">
        <v>0.22700000000000001</v>
      </c>
      <c r="M66" s="11">
        <v>0.34447</v>
      </c>
      <c r="N66" s="11">
        <v>6.1859700000000002</v>
      </c>
      <c r="O66" s="11">
        <v>0.83833999999999997</v>
      </c>
      <c r="P66" s="11">
        <v>7.3687800000000001</v>
      </c>
      <c r="Q66" s="7"/>
    </row>
    <row r="67" spans="1:17" ht="12.75" customHeight="1" x14ac:dyDescent="0.35">
      <c r="A67" s="6" t="s">
        <v>16</v>
      </c>
      <c r="B67" s="6" t="s">
        <v>17</v>
      </c>
      <c r="C67" s="7">
        <v>2014</v>
      </c>
      <c r="D67" s="8">
        <f t="shared" si="12"/>
        <v>16</v>
      </c>
      <c r="E67" s="9">
        <v>0.69101000000000001</v>
      </c>
      <c r="F67" s="9">
        <v>28.371400000000001</v>
      </c>
      <c r="G67" s="10">
        <v>0</v>
      </c>
      <c r="H67" s="9">
        <f t="shared" si="13"/>
        <v>0.66666666666666663</v>
      </c>
      <c r="I67" s="9">
        <v>2.0000000000000001E-4</v>
      </c>
      <c r="J67" s="9">
        <v>0.90520999999999996</v>
      </c>
      <c r="K67" s="9">
        <v>4.0000000000000002E-4</v>
      </c>
      <c r="L67" s="9">
        <v>0.1923</v>
      </c>
      <c r="M67" s="11">
        <v>0.30982999999999999</v>
      </c>
      <c r="N67" s="11">
        <v>6.8508800000000001</v>
      </c>
      <c r="O67" s="11">
        <v>0.85402999999999996</v>
      </c>
      <c r="P67" s="11">
        <v>8.0147399999999998</v>
      </c>
      <c r="Q67" s="7"/>
    </row>
    <row r="68" spans="1:17" ht="12.75" customHeight="1" x14ac:dyDescent="0.35">
      <c r="A68" s="6" t="s">
        <v>16</v>
      </c>
      <c r="B68" s="6" t="s">
        <v>17</v>
      </c>
      <c r="C68" s="7">
        <v>2015</v>
      </c>
      <c r="D68" s="8">
        <f t="shared" si="12"/>
        <v>17</v>
      </c>
      <c r="E68" s="9">
        <v>1.0336399999999999</v>
      </c>
      <c r="F68" s="9">
        <v>28.370799999999999</v>
      </c>
      <c r="G68" s="10">
        <v>0</v>
      </c>
      <c r="H68" s="9">
        <f t="shared" si="13"/>
        <v>0.66666666666666663</v>
      </c>
      <c r="I68" s="9">
        <v>-0.1767</v>
      </c>
      <c r="J68" s="9">
        <v>0.63463000000000003</v>
      </c>
      <c r="K68" s="9">
        <v>-0.3594</v>
      </c>
      <c r="L68" s="9">
        <v>0.15709999999999999</v>
      </c>
      <c r="M68" s="11">
        <v>0.66395999999999999</v>
      </c>
      <c r="N68" s="11">
        <v>10.76834</v>
      </c>
      <c r="O68" s="11">
        <v>0.90713999999999995</v>
      </c>
      <c r="P68" s="11">
        <v>12.33943</v>
      </c>
      <c r="Q68" s="7"/>
    </row>
    <row r="69" spans="1:17" ht="12.75" customHeight="1" x14ac:dyDescent="0.35">
      <c r="A69" s="6" t="s">
        <v>16</v>
      </c>
      <c r="B69" s="6" t="s">
        <v>17</v>
      </c>
      <c r="C69" s="7">
        <v>2016</v>
      </c>
      <c r="D69" s="8">
        <f t="shared" si="12"/>
        <v>18</v>
      </c>
      <c r="E69" s="9">
        <v>1.0279700000000001</v>
      </c>
      <c r="F69" s="9">
        <v>28.254999999999999</v>
      </c>
      <c r="G69" s="10">
        <v>0</v>
      </c>
      <c r="H69" s="9">
        <v>0.66666666666666663</v>
      </c>
      <c r="I69" s="9">
        <v>-5.6000000000000001E-2</v>
      </c>
      <c r="J69" s="9">
        <v>0.64876999999999996</v>
      </c>
      <c r="K69" s="9">
        <v>-0.11360000000000001</v>
      </c>
      <c r="L69" s="9">
        <v>0.18110000000000001</v>
      </c>
      <c r="M69" s="11">
        <v>0.46139000000000002</v>
      </c>
      <c r="N69" s="11">
        <v>7.4447000000000001</v>
      </c>
      <c r="O69" s="11">
        <v>0.86568000000000001</v>
      </c>
      <c r="P69" s="11">
        <v>8.7717700000000001</v>
      </c>
      <c r="Q69" s="7"/>
    </row>
    <row r="70" spans="1:17" ht="12.75" customHeight="1" x14ac:dyDescent="0.35">
      <c r="A70" s="6" t="s">
        <v>16</v>
      </c>
      <c r="B70" s="6" t="s">
        <v>17</v>
      </c>
      <c r="C70" s="7">
        <v>2017</v>
      </c>
      <c r="D70" s="8">
        <f t="shared" si="12"/>
        <v>19</v>
      </c>
      <c r="E70" s="9">
        <v>2.1204299999999998</v>
      </c>
      <c r="F70" s="9">
        <v>27.891200000000001</v>
      </c>
      <c r="G70" s="10">
        <v>0</v>
      </c>
      <c r="H70" s="9">
        <v>0.66666666666666663</v>
      </c>
      <c r="I70" s="9">
        <v>-0.40110000000000001</v>
      </c>
      <c r="J70" s="9">
        <v>0.88641999999999999</v>
      </c>
      <c r="K70" s="9">
        <v>-1.2516</v>
      </c>
      <c r="L70" s="9">
        <v>0.2462</v>
      </c>
      <c r="M70" s="11">
        <v>1.97383</v>
      </c>
      <c r="N70" s="11">
        <v>18.224799999999998</v>
      </c>
      <c r="O70" s="11">
        <v>0.94513000000000003</v>
      </c>
      <c r="P70" s="11">
        <v>21.143750000000001</v>
      </c>
      <c r="Q70" s="7"/>
    </row>
    <row r="71" spans="1:17" ht="12.75" customHeight="1" x14ac:dyDescent="0.35">
      <c r="A71" s="6" t="s">
        <v>16</v>
      </c>
      <c r="B71" s="6" t="s">
        <v>17</v>
      </c>
      <c r="C71" s="7">
        <v>2018</v>
      </c>
      <c r="D71" s="8">
        <v>20</v>
      </c>
      <c r="E71" s="9">
        <v>2.7730000000000001</v>
      </c>
      <c r="F71" s="9">
        <v>27.864999999999998</v>
      </c>
      <c r="G71" s="17">
        <v>0</v>
      </c>
      <c r="H71" s="9">
        <v>0.66669999999999996</v>
      </c>
      <c r="I71" s="9">
        <v>-9.4E-2</v>
      </c>
      <c r="J71" s="9">
        <v>0.95</v>
      </c>
      <c r="K71" s="9">
        <v>-0.35499999999999998</v>
      </c>
      <c r="L71" s="9">
        <v>0.24199999999999999</v>
      </c>
      <c r="M71" s="11">
        <v>1.1315900000000001</v>
      </c>
      <c r="N71" s="11">
        <v>7.0152799999999997</v>
      </c>
      <c r="O71" s="11">
        <v>0.85745000000000005</v>
      </c>
      <c r="P71" s="11">
        <v>9.0043299999999995</v>
      </c>
      <c r="Q71" s="7"/>
    </row>
    <row r="72" spans="1:17" ht="12.75" customHeight="1" x14ac:dyDescent="0.35">
      <c r="A72" s="6" t="s">
        <v>16</v>
      </c>
      <c r="B72" s="6" t="s">
        <v>17</v>
      </c>
      <c r="C72" s="7">
        <v>2019</v>
      </c>
      <c r="D72" s="8">
        <v>21</v>
      </c>
      <c r="E72" s="9">
        <v>3.25</v>
      </c>
      <c r="F72" s="9">
        <v>27.704999999999998</v>
      </c>
      <c r="G72" s="17">
        <v>0</v>
      </c>
      <c r="H72" s="9">
        <v>0.66669999999999996</v>
      </c>
      <c r="I72" s="9">
        <v>-5.8000000000000003E-2</v>
      </c>
      <c r="J72" s="9">
        <v>1.355</v>
      </c>
      <c r="K72" s="9">
        <v>-0.246</v>
      </c>
      <c r="L72" s="9">
        <v>0</v>
      </c>
      <c r="M72" s="11">
        <v>1.1030800000000001</v>
      </c>
      <c r="N72" s="11">
        <v>5.3552400000000002</v>
      </c>
      <c r="O72" s="11">
        <v>0.81327000000000005</v>
      </c>
      <c r="P72" s="11">
        <v>7.2715899999999998</v>
      </c>
      <c r="Q72" s="7"/>
    </row>
    <row r="73" spans="1:17" ht="12.75" customHeight="1" x14ac:dyDescent="0.35">
      <c r="A73" s="6" t="s">
        <v>16</v>
      </c>
      <c r="B73" s="6" t="s">
        <v>17</v>
      </c>
      <c r="C73" s="7">
        <v>2020</v>
      </c>
      <c r="D73" s="8">
        <v>22</v>
      </c>
      <c r="E73" s="9">
        <v>4.1749999999999998</v>
      </c>
      <c r="F73" s="9">
        <v>26.986000000000001</v>
      </c>
      <c r="G73" s="17">
        <v>0</v>
      </c>
      <c r="H73" s="9">
        <v>0.66669999999999996</v>
      </c>
      <c r="I73" s="9">
        <v>-0.3</v>
      </c>
      <c r="J73" s="9">
        <v>2.0179999999999998</v>
      </c>
      <c r="K73" s="9">
        <v>-1.554</v>
      </c>
      <c r="L73" s="9">
        <v>0</v>
      </c>
      <c r="M73" s="11">
        <v>2.91134</v>
      </c>
      <c r="N73" s="11">
        <v>7.8852799999999998</v>
      </c>
      <c r="O73" s="11">
        <v>0.87317999999999996</v>
      </c>
      <c r="P73" s="11">
        <v>11.6698</v>
      </c>
      <c r="Q73" s="7"/>
    </row>
    <row r="74" spans="1:17" ht="12.75" customHeight="1" x14ac:dyDescent="0.35">
      <c r="A74" s="6" t="s">
        <v>16</v>
      </c>
      <c r="B74" s="6" t="s">
        <v>17</v>
      </c>
      <c r="C74" s="7">
        <v>2021</v>
      </c>
      <c r="D74" s="8">
        <v>23</v>
      </c>
      <c r="E74" s="9">
        <v>3.1509999999999998</v>
      </c>
      <c r="F74" s="9">
        <v>26.896999999999998</v>
      </c>
      <c r="G74" s="17">
        <v>0</v>
      </c>
      <c r="H74" s="9">
        <v>0.66669999999999996</v>
      </c>
      <c r="I74" s="9">
        <v>0.02</v>
      </c>
      <c r="J74" s="9">
        <v>2.0840000000000001</v>
      </c>
      <c r="K74" s="9">
        <v>8.3000000000000004E-2</v>
      </c>
      <c r="L74" s="9">
        <v>0</v>
      </c>
      <c r="M74" s="11">
        <v>0.93637000000000004</v>
      </c>
      <c r="N74" s="11">
        <v>4.87155</v>
      </c>
      <c r="O74" s="11">
        <v>0.79473000000000005</v>
      </c>
      <c r="P74" s="11">
        <v>6.6026400000000001</v>
      </c>
      <c r="Q74" s="7"/>
    </row>
    <row r="75" spans="1:17" ht="12.75" customHeight="1" x14ac:dyDescent="0.35">
      <c r="A75" s="6" t="s">
        <v>16</v>
      </c>
      <c r="B75" s="6" t="s">
        <v>17</v>
      </c>
      <c r="C75" s="7">
        <v>2022</v>
      </c>
      <c r="D75" s="8">
        <v>24</v>
      </c>
      <c r="E75" s="9">
        <v>0.32300000000000001</v>
      </c>
      <c r="F75" s="9">
        <v>27.006</v>
      </c>
      <c r="G75" s="17">
        <v>0</v>
      </c>
      <c r="H75" s="9">
        <v>0.66669999999999996</v>
      </c>
      <c r="I75" s="9">
        <v>0.02</v>
      </c>
      <c r="J75" s="9">
        <v>1.385</v>
      </c>
      <c r="K75" s="9">
        <v>2.7E-2</v>
      </c>
      <c r="L75" s="9">
        <v>0.27400000000000002</v>
      </c>
      <c r="M75" s="11">
        <v>0.35475000000000001</v>
      </c>
      <c r="N75" s="11">
        <v>5.37852</v>
      </c>
      <c r="O75" s="11">
        <v>0.81408000000000003</v>
      </c>
      <c r="P75" s="11">
        <v>6.5473400000000002</v>
      </c>
      <c r="Q75" s="7"/>
    </row>
    <row r="76" spans="1:17" ht="12.75" customHeight="1" x14ac:dyDescent="0.35">
      <c r="A76" s="6" t="s">
        <v>18</v>
      </c>
      <c r="B76" s="6" t="s">
        <v>19</v>
      </c>
      <c r="C76" s="7">
        <v>2020</v>
      </c>
      <c r="D76" s="8">
        <v>9</v>
      </c>
      <c r="E76" s="9">
        <v>0.95799999999999996</v>
      </c>
      <c r="F76" s="9">
        <v>27.154</v>
      </c>
      <c r="G76" s="10">
        <v>0</v>
      </c>
      <c r="H76" s="9">
        <v>0.66669999999999996</v>
      </c>
      <c r="I76" s="9">
        <v>8.3000000000000004E-2</v>
      </c>
      <c r="J76" s="9">
        <v>1.8169999999999999</v>
      </c>
      <c r="K76" s="9">
        <v>0.16200000000000001</v>
      </c>
      <c r="L76" s="9">
        <v>0.47599999999999998</v>
      </c>
      <c r="M76" s="11">
        <v>0.63959999999999995</v>
      </c>
      <c r="N76" s="11">
        <v>7.1833099999999996</v>
      </c>
      <c r="O76" s="11">
        <v>0.86079000000000006</v>
      </c>
      <c r="P76" s="11">
        <v>8.6837</v>
      </c>
      <c r="Q76" s="7"/>
    </row>
    <row r="77" spans="1:17" ht="12.75" customHeight="1" x14ac:dyDescent="0.35">
      <c r="A77" s="6" t="s">
        <v>18</v>
      </c>
      <c r="B77" s="6" t="s">
        <v>19</v>
      </c>
      <c r="C77" s="7">
        <v>2021</v>
      </c>
      <c r="D77" s="8">
        <v>10</v>
      </c>
      <c r="E77" s="9">
        <v>0.54800000000000004</v>
      </c>
      <c r="F77" s="9">
        <v>27.227</v>
      </c>
      <c r="G77" s="17">
        <v>0</v>
      </c>
      <c r="H77" s="9">
        <v>0.66669999999999996</v>
      </c>
      <c r="I77" s="9">
        <v>0.16900000000000001</v>
      </c>
      <c r="J77" s="9">
        <v>4.8550000000000004</v>
      </c>
      <c r="K77" s="9">
        <v>0.26100000000000001</v>
      </c>
      <c r="L77" s="9">
        <v>0.60499999999999998</v>
      </c>
      <c r="M77" s="11">
        <v>0.59821000000000002</v>
      </c>
      <c r="N77" s="11">
        <v>8.7664500000000007</v>
      </c>
      <c r="O77" s="11">
        <v>0.88593</v>
      </c>
      <c r="P77" s="11">
        <v>10.250590000000001</v>
      </c>
      <c r="Q77" s="7"/>
    </row>
    <row r="78" spans="1:17" ht="12.75" customHeight="1" x14ac:dyDescent="0.35">
      <c r="A78" s="6" t="s">
        <v>18</v>
      </c>
      <c r="B78" s="6" t="s">
        <v>19</v>
      </c>
      <c r="C78" s="7">
        <v>2022</v>
      </c>
      <c r="D78" s="8">
        <v>11</v>
      </c>
      <c r="E78" s="9">
        <v>0.56899999999999995</v>
      </c>
      <c r="F78" s="9">
        <v>27.373000000000001</v>
      </c>
      <c r="G78" s="17">
        <v>0</v>
      </c>
      <c r="H78" s="9">
        <v>0.66669999999999996</v>
      </c>
      <c r="I78" s="9">
        <v>7.1999999999999995E-2</v>
      </c>
      <c r="J78" s="9">
        <v>1.1180000000000001</v>
      </c>
      <c r="K78" s="9">
        <v>0.114</v>
      </c>
      <c r="L78" s="9">
        <v>0.52600000000000002</v>
      </c>
      <c r="M78" s="11">
        <v>0.66542999999999997</v>
      </c>
      <c r="N78" s="11">
        <v>9.8746200000000002</v>
      </c>
      <c r="O78" s="11">
        <v>0.89873000000000003</v>
      </c>
      <c r="P78" s="11">
        <v>11.43878</v>
      </c>
      <c r="Q78" s="7"/>
    </row>
    <row r="79" spans="1:17" ht="12.75" customHeight="1" x14ac:dyDescent="0.35">
      <c r="A79" s="6" t="s">
        <v>20</v>
      </c>
      <c r="B79" s="6" t="s">
        <v>21</v>
      </c>
      <c r="C79" s="7">
        <v>2012</v>
      </c>
      <c r="D79" s="8">
        <f t="shared" ref="D79:D83" si="14">D80-1</f>
        <v>6</v>
      </c>
      <c r="E79" s="9">
        <v>0.20286999999999999</v>
      </c>
      <c r="F79" s="9">
        <v>29.1037</v>
      </c>
      <c r="G79" s="10">
        <v>0</v>
      </c>
      <c r="H79" s="9">
        <f t="shared" ref="H79:H81" si="15">H80</f>
        <v>0.5</v>
      </c>
      <c r="I79" s="9">
        <v>2E-3</v>
      </c>
      <c r="J79" s="9">
        <v>1.7109700000000001</v>
      </c>
      <c r="K79" s="9">
        <v>2.3E-3</v>
      </c>
      <c r="L79" s="9">
        <v>7.9699999999999993E-2</v>
      </c>
      <c r="M79" s="11">
        <v>0.10623</v>
      </c>
      <c r="N79" s="11">
        <v>9.6053700000000006</v>
      </c>
      <c r="O79" s="11">
        <v>0.89588999999999996</v>
      </c>
      <c r="P79" s="11">
        <v>10.6075</v>
      </c>
      <c r="Q79" s="7"/>
    </row>
    <row r="80" spans="1:17" ht="12.75" customHeight="1" x14ac:dyDescent="0.35">
      <c r="A80" s="6" t="s">
        <v>20</v>
      </c>
      <c r="B80" s="6" t="s">
        <v>21</v>
      </c>
      <c r="C80" s="7">
        <v>2014</v>
      </c>
      <c r="D80" s="8">
        <f t="shared" si="14"/>
        <v>7</v>
      </c>
      <c r="E80" s="9">
        <v>2.0268299999999999</v>
      </c>
      <c r="F80" s="9">
        <v>30.437000000000001</v>
      </c>
      <c r="G80" s="10">
        <v>0</v>
      </c>
      <c r="H80" s="9">
        <f t="shared" si="15"/>
        <v>0.5</v>
      </c>
      <c r="I80" s="9">
        <v>6.0000000000000001E-3</v>
      </c>
      <c r="J80" s="9">
        <v>0.92561000000000004</v>
      </c>
      <c r="K80" s="9">
        <v>1.8100000000000002E-2</v>
      </c>
      <c r="L80" s="9">
        <v>1.5100000000000001E-2</v>
      </c>
      <c r="M80" s="11">
        <v>-6.1650000000000003E-2</v>
      </c>
      <c r="N80" s="11">
        <v>-7.5384000000000002</v>
      </c>
      <c r="O80" s="11">
        <v>1.1326499999999999</v>
      </c>
      <c r="P80" s="11">
        <v>-6.46739</v>
      </c>
      <c r="Q80" s="7"/>
    </row>
    <row r="81" spans="1:17" ht="12.75" customHeight="1" x14ac:dyDescent="0.35">
      <c r="A81" s="6" t="s">
        <v>20</v>
      </c>
      <c r="B81" s="6" t="s">
        <v>21</v>
      </c>
      <c r="C81" s="7">
        <v>2015</v>
      </c>
      <c r="D81" s="8">
        <f t="shared" si="14"/>
        <v>8</v>
      </c>
      <c r="E81" s="9">
        <v>1.9616400000000001</v>
      </c>
      <c r="F81" s="9">
        <v>30.547999999999998</v>
      </c>
      <c r="G81" s="10">
        <v>0</v>
      </c>
      <c r="H81" s="9">
        <f t="shared" si="15"/>
        <v>0.5</v>
      </c>
      <c r="I81" s="9">
        <v>4.1999999999999997E-3</v>
      </c>
      <c r="J81" s="9">
        <v>0.75912999999999997</v>
      </c>
      <c r="K81" s="9">
        <v>1.24E-2</v>
      </c>
      <c r="L81" s="9">
        <v>7.0000000000000001E-3</v>
      </c>
      <c r="M81" s="11">
        <v>-1.481E-2</v>
      </c>
      <c r="N81" s="11">
        <v>-2.8603399999999999</v>
      </c>
      <c r="O81" s="11">
        <v>1.34961</v>
      </c>
      <c r="P81" s="11">
        <v>-1.5255399999999999</v>
      </c>
      <c r="Q81" s="7"/>
    </row>
    <row r="82" spans="1:17" ht="12.75" customHeight="1" x14ac:dyDescent="0.35">
      <c r="A82" s="6" t="s">
        <v>20</v>
      </c>
      <c r="B82" s="6" t="s">
        <v>21</v>
      </c>
      <c r="C82" s="7">
        <v>2016</v>
      </c>
      <c r="D82" s="8">
        <f t="shared" si="14"/>
        <v>9</v>
      </c>
      <c r="E82" s="9">
        <v>3.3000799999999999</v>
      </c>
      <c r="F82" s="9">
        <v>30.4651</v>
      </c>
      <c r="G82" s="10">
        <v>0</v>
      </c>
      <c r="H82" s="9">
        <v>0.5</v>
      </c>
      <c r="I82" s="9">
        <v>-0.1336</v>
      </c>
      <c r="J82" s="9">
        <v>0.91764000000000001</v>
      </c>
      <c r="K82" s="9">
        <v>-0.57450000000000001</v>
      </c>
      <c r="L82" s="9">
        <v>1.8E-3</v>
      </c>
      <c r="M82" s="11">
        <v>-1.6709999999999999E-2</v>
      </c>
      <c r="N82" s="11">
        <v>-2.50529</v>
      </c>
      <c r="O82" s="11">
        <v>1.3991499999999999</v>
      </c>
      <c r="P82" s="11">
        <v>-1.1228499999999999</v>
      </c>
      <c r="Q82" s="7"/>
    </row>
    <row r="83" spans="1:17" ht="12.75" customHeight="1" x14ac:dyDescent="0.35">
      <c r="A83" s="6" t="s">
        <v>20</v>
      </c>
      <c r="B83" s="6" t="s">
        <v>21</v>
      </c>
      <c r="C83" s="7">
        <v>2017</v>
      </c>
      <c r="D83" s="8">
        <f t="shared" si="14"/>
        <v>10</v>
      </c>
      <c r="E83" s="9">
        <v>5.1052900000000001</v>
      </c>
      <c r="F83" s="9">
        <v>30.532499999999999</v>
      </c>
      <c r="G83" s="10">
        <v>0</v>
      </c>
      <c r="H83" s="9">
        <v>0.75</v>
      </c>
      <c r="I83" s="9">
        <v>4.9200000000000001E-2</v>
      </c>
      <c r="J83" s="9">
        <v>0.99285999999999996</v>
      </c>
      <c r="K83" s="9">
        <v>0.30049999999999999</v>
      </c>
      <c r="L83" s="9">
        <v>2.3999999999999998E-3</v>
      </c>
      <c r="M83" s="11">
        <v>-3.7929999999999998E-2</v>
      </c>
      <c r="N83" s="11">
        <v>-4.3610199999999999</v>
      </c>
      <c r="O83" s="11">
        <v>1.2293000000000001</v>
      </c>
      <c r="P83" s="11">
        <v>-3.1696499999999999</v>
      </c>
      <c r="Q83" s="7"/>
    </row>
    <row r="84" spans="1:17" ht="12.75" customHeight="1" x14ac:dyDescent="0.35">
      <c r="A84" s="6" t="s">
        <v>20</v>
      </c>
      <c r="B84" s="6" t="s">
        <v>21</v>
      </c>
      <c r="C84" s="7">
        <v>2018</v>
      </c>
      <c r="D84" s="8">
        <v>11</v>
      </c>
      <c r="E84" s="9">
        <v>2.3199999999999998</v>
      </c>
      <c r="F84" s="9">
        <v>30.518999999999998</v>
      </c>
      <c r="G84" s="17">
        <v>0</v>
      </c>
      <c r="H84" s="9">
        <v>0.75</v>
      </c>
      <c r="I84" s="9">
        <v>1.4999999999999999E-2</v>
      </c>
      <c r="J84" s="9">
        <v>0.81299999999999994</v>
      </c>
      <c r="K84" s="9">
        <v>5.0999999999999997E-2</v>
      </c>
      <c r="L84" s="9">
        <v>2.1999999999999999E-2</v>
      </c>
      <c r="M84" s="11">
        <v>-0.30312</v>
      </c>
      <c r="N84" s="11">
        <v>-33.322450000000003</v>
      </c>
      <c r="O84" s="11">
        <v>1.0300100000000001</v>
      </c>
      <c r="P84" s="11">
        <v>-32.595559999999999</v>
      </c>
      <c r="Q84" s="7"/>
    </row>
    <row r="85" spans="1:17" ht="12.75" customHeight="1" x14ac:dyDescent="0.35">
      <c r="A85" s="6" t="s">
        <v>20</v>
      </c>
      <c r="B85" s="6" t="s">
        <v>21</v>
      </c>
      <c r="C85" s="7">
        <v>2019</v>
      </c>
      <c r="D85" s="8">
        <v>12</v>
      </c>
      <c r="E85" s="9">
        <v>2.4489999999999998</v>
      </c>
      <c r="F85" s="9">
        <v>30.489000000000001</v>
      </c>
      <c r="G85" s="17">
        <v>0</v>
      </c>
      <c r="H85" s="9">
        <v>0.75</v>
      </c>
      <c r="I85" s="9">
        <v>2.1999999999999999E-2</v>
      </c>
      <c r="J85" s="9">
        <v>0.876</v>
      </c>
      <c r="K85" s="9">
        <v>7.4999999999999997E-2</v>
      </c>
      <c r="L85" s="9">
        <v>5.7000000000000002E-2</v>
      </c>
      <c r="M85" s="11">
        <v>-9.4259999999999997E-2</v>
      </c>
      <c r="N85" s="11">
        <v>-8.93093</v>
      </c>
      <c r="O85" s="11">
        <v>1.1119699999999999</v>
      </c>
      <c r="P85" s="11">
        <v>-7.9132199999999999</v>
      </c>
      <c r="Q85" s="7"/>
    </row>
    <row r="86" spans="1:17" ht="12.75" customHeight="1" x14ac:dyDescent="0.35">
      <c r="A86" s="6" t="s">
        <v>20</v>
      </c>
      <c r="B86" s="6" t="s">
        <v>21</v>
      </c>
      <c r="C86" s="7">
        <v>2020</v>
      </c>
      <c r="D86" s="8">
        <v>13</v>
      </c>
      <c r="E86" s="9">
        <v>2.4849999999999999</v>
      </c>
      <c r="F86" s="9">
        <v>30.573</v>
      </c>
      <c r="G86" s="17">
        <v>0</v>
      </c>
      <c r="H86" s="9">
        <v>0.75</v>
      </c>
      <c r="I86" s="9">
        <v>0.02</v>
      </c>
      <c r="J86" s="9">
        <v>0.86599999999999999</v>
      </c>
      <c r="K86" s="9">
        <v>7.0000000000000007E-2</v>
      </c>
      <c r="L86" s="9">
        <v>5.8000000000000003E-2</v>
      </c>
      <c r="M86" s="11">
        <v>-5.9929999999999997E-2</v>
      </c>
      <c r="N86" s="11">
        <v>-7.1777300000000004</v>
      </c>
      <c r="O86" s="11">
        <v>1.1393200000000001</v>
      </c>
      <c r="P86" s="11">
        <v>-6.0983400000000003</v>
      </c>
      <c r="Q86" s="7"/>
    </row>
    <row r="87" spans="1:17" ht="12.75" customHeight="1" x14ac:dyDescent="0.35">
      <c r="A87" s="6" t="s">
        <v>20</v>
      </c>
      <c r="B87" s="6" t="s">
        <v>21</v>
      </c>
      <c r="C87" s="7">
        <v>2021</v>
      </c>
      <c r="D87" s="8">
        <v>14</v>
      </c>
      <c r="E87" s="9">
        <v>1.351</v>
      </c>
      <c r="F87" s="9">
        <v>30.242000000000001</v>
      </c>
      <c r="G87" s="17">
        <v>0</v>
      </c>
      <c r="H87" s="9">
        <v>0.75</v>
      </c>
      <c r="I87" s="9">
        <v>2.3E-2</v>
      </c>
      <c r="J87" s="9">
        <v>0.78800000000000003</v>
      </c>
      <c r="K87" s="9">
        <v>5.3999999999999999E-2</v>
      </c>
      <c r="L87" s="9">
        <v>6.9000000000000006E-2</v>
      </c>
      <c r="M87" s="11">
        <v>-5.5440000000000003E-2</v>
      </c>
      <c r="N87" s="11">
        <v>-6.5211100000000002</v>
      </c>
      <c r="O87" s="11">
        <v>1.1533500000000001</v>
      </c>
      <c r="P87" s="11">
        <v>-5.4231999999999996</v>
      </c>
      <c r="Q87" s="7"/>
    </row>
    <row r="88" spans="1:17" ht="12.75" customHeight="1" x14ac:dyDescent="0.35">
      <c r="A88" s="6" t="s">
        <v>20</v>
      </c>
      <c r="B88" s="6" t="s">
        <v>21</v>
      </c>
      <c r="C88" s="7">
        <v>2022</v>
      </c>
      <c r="D88" s="8">
        <v>15</v>
      </c>
      <c r="E88" s="9">
        <v>1.1080000000000001</v>
      </c>
      <c r="F88" s="9">
        <v>30.509</v>
      </c>
      <c r="G88" s="17">
        <v>0</v>
      </c>
      <c r="H88" s="9">
        <v>0.75</v>
      </c>
      <c r="I88" s="9">
        <v>1.2999999999999999E-2</v>
      </c>
      <c r="J88" s="9">
        <v>1.04</v>
      </c>
      <c r="K88" s="9">
        <v>2.7E-2</v>
      </c>
      <c r="L88" s="9">
        <v>3.9E-2</v>
      </c>
      <c r="M88" s="11">
        <v>-0.13283</v>
      </c>
      <c r="N88" s="11">
        <v>-22.467919999999999</v>
      </c>
      <c r="O88" s="11">
        <v>1.04451</v>
      </c>
      <c r="P88" s="11">
        <v>-21.556239999999999</v>
      </c>
      <c r="Q88" s="7"/>
    </row>
    <row r="89" spans="1:17" ht="12.75" customHeight="1" x14ac:dyDescent="0.35">
      <c r="A89" s="6" t="s">
        <v>22</v>
      </c>
      <c r="B89" s="6" t="s">
        <v>23</v>
      </c>
      <c r="C89" s="7">
        <v>2018</v>
      </c>
      <c r="D89" s="8">
        <v>7</v>
      </c>
      <c r="E89" s="9">
        <v>1.8129999999999999</v>
      </c>
      <c r="F89" s="9">
        <v>27.009</v>
      </c>
      <c r="G89" s="17">
        <v>0</v>
      </c>
      <c r="H89" s="9">
        <v>1</v>
      </c>
      <c r="I89" s="9">
        <v>4.2000000000000003E-2</v>
      </c>
      <c r="J89" s="9">
        <v>6.9029999999999996</v>
      </c>
      <c r="K89" s="9">
        <v>0.11700000000000001</v>
      </c>
      <c r="L89" s="9">
        <v>0.50700000000000001</v>
      </c>
      <c r="M89" s="11">
        <v>1.2722899999999999</v>
      </c>
      <c r="N89" s="11">
        <v>10.0238</v>
      </c>
      <c r="O89" s="11">
        <v>0.90024000000000004</v>
      </c>
      <c r="P89" s="11">
        <v>12.19633</v>
      </c>
      <c r="Q89" s="7"/>
    </row>
    <row r="90" spans="1:17" ht="12.75" customHeight="1" x14ac:dyDescent="0.35">
      <c r="A90" s="6" t="s">
        <v>22</v>
      </c>
      <c r="B90" s="6" t="s">
        <v>23</v>
      </c>
      <c r="C90" s="7">
        <v>2019</v>
      </c>
      <c r="D90" s="8">
        <v>8</v>
      </c>
      <c r="E90" s="9">
        <v>3.5070000000000001</v>
      </c>
      <c r="F90" s="9">
        <v>27.494</v>
      </c>
      <c r="G90" s="17">
        <v>0</v>
      </c>
      <c r="H90" s="9">
        <v>0.66669999999999996</v>
      </c>
      <c r="I90" s="9">
        <v>3.0000000000000001E-3</v>
      </c>
      <c r="J90" s="9">
        <v>1.054</v>
      </c>
      <c r="K90" s="9">
        <v>1.4E-2</v>
      </c>
      <c r="L90" s="9">
        <v>0.311</v>
      </c>
      <c r="M90" s="11">
        <v>1.40194</v>
      </c>
      <c r="N90" s="11">
        <v>11.300509999999999</v>
      </c>
      <c r="O90" s="11">
        <v>0.91151000000000004</v>
      </c>
      <c r="P90" s="11">
        <v>13.613950000000001</v>
      </c>
      <c r="Q90" s="7"/>
    </row>
    <row r="91" spans="1:17" ht="12.75" customHeight="1" x14ac:dyDescent="0.35">
      <c r="A91" s="6" t="s">
        <v>22</v>
      </c>
      <c r="B91" s="6" t="s">
        <v>23</v>
      </c>
      <c r="C91" s="7">
        <v>2020</v>
      </c>
      <c r="D91" s="8">
        <v>9</v>
      </c>
      <c r="E91" s="9">
        <v>7.0030000000000001</v>
      </c>
      <c r="F91" s="9">
        <v>27.273</v>
      </c>
      <c r="G91" s="17">
        <v>0</v>
      </c>
      <c r="H91" s="9">
        <v>0.66669999999999996</v>
      </c>
      <c r="I91" s="9">
        <v>-0.152</v>
      </c>
      <c r="J91" s="9">
        <v>1.175</v>
      </c>
      <c r="K91" s="9">
        <v>-1.216</v>
      </c>
      <c r="L91" s="9">
        <v>0.24399999999999999</v>
      </c>
      <c r="M91" s="11">
        <v>3.0018600000000002</v>
      </c>
      <c r="N91" s="11">
        <v>16.80491</v>
      </c>
      <c r="O91" s="11">
        <v>0.94049000000000005</v>
      </c>
      <c r="P91" s="11">
        <v>20.747260000000001</v>
      </c>
      <c r="Q91" s="7"/>
    </row>
    <row r="92" spans="1:17" ht="12.75" customHeight="1" x14ac:dyDescent="0.35">
      <c r="A92" s="6" t="s">
        <v>22</v>
      </c>
      <c r="B92" s="6" t="s">
        <v>23</v>
      </c>
      <c r="C92" s="7">
        <v>2021</v>
      </c>
      <c r="D92" s="8">
        <v>10</v>
      </c>
      <c r="E92" s="9">
        <v>-7.7110000000000003</v>
      </c>
      <c r="F92" s="9">
        <v>26.984000000000002</v>
      </c>
      <c r="G92" s="17">
        <v>0</v>
      </c>
      <c r="H92" s="9">
        <v>0.66669999999999996</v>
      </c>
      <c r="I92" s="9">
        <v>-0.316</v>
      </c>
      <c r="J92" s="9">
        <v>1.339</v>
      </c>
      <c r="K92" s="9">
        <v>2.12</v>
      </c>
      <c r="L92" s="9">
        <v>8.3000000000000004E-2</v>
      </c>
      <c r="M92" s="11">
        <v>-2.3836599999999999</v>
      </c>
      <c r="N92" s="11">
        <v>44.949240000000003</v>
      </c>
      <c r="O92" s="11">
        <v>0.97775000000000001</v>
      </c>
      <c r="P92" s="11">
        <v>43.543329999999997</v>
      </c>
      <c r="Q92" s="7"/>
    </row>
    <row r="93" spans="1:17" ht="12.75" customHeight="1" x14ac:dyDescent="0.35">
      <c r="A93" s="6" t="s">
        <v>24</v>
      </c>
      <c r="B93" s="6" t="s">
        <v>25</v>
      </c>
      <c r="C93" s="7">
        <v>2012</v>
      </c>
      <c r="D93" s="8">
        <f t="shared" ref="D93:D98" si="16">D94-1</f>
        <v>22</v>
      </c>
      <c r="E93" s="9">
        <v>0.68923999999999996</v>
      </c>
      <c r="F93" s="9">
        <v>27.898599999999998</v>
      </c>
      <c r="G93" s="10">
        <v>1</v>
      </c>
      <c r="H93" s="9">
        <f t="shared" ref="H93:H96" si="17">H94</f>
        <v>0.66666666666666663</v>
      </c>
      <c r="I93" s="9">
        <v>7.0199999999999999E-2</v>
      </c>
      <c r="J93" s="9">
        <v>4.2683499999999999</v>
      </c>
      <c r="K93" s="9">
        <v>0.1186</v>
      </c>
      <c r="L93" s="9">
        <v>0.78220000000000001</v>
      </c>
      <c r="M93" s="11">
        <v>1.16472</v>
      </c>
      <c r="N93" s="11">
        <v>38.146540000000002</v>
      </c>
      <c r="O93" s="11">
        <v>0.97379000000000004</v>
      </c>
      <c r="P93" s="11">
        <v>40.285049999999998</v>
      </c>
      <c r="Q93" s="7"/>
    </row>
    <row r="94" spans="1:17" ht="12.75" customHeight="1" x14ac:dyDescent="0.35">
      <c r="A94" s="6" t="s">
        <v>24</v>
      </c>
      <c r="B94" s="6" t="s">
        <v>25</v>
      </c>
      <c r="C94" s="7">
        <v>2013</v>
      </c>
      <c r="D94" s="8">
        <f t="shared" si="16"/>
        <v>23</v>
      </c>
      <c r="E94" s="9">
        <v>0.82609999999999995</v>
      </c>
      <c r="F94" s="9">
        <v>28.1404</v>
      </c>
      <c r="G94" s="10">
        <v>1</v>
      </c>
      <c r="H94" s="9">
        <f t="shared" si="17"/>
        <v>0.66666666666666663</v>
      </c>
      <c r="I94" s="9">
        <v>2.9700000000000001E-2</v>
      </c>
      <c r="J94" s="9">
        <v>3.0763099999999999</v>
      </c>
      <c r="K94" s="9">
        <v>5.4300000000000001E-2</v>
      </c>
      <c r="L94" s="9">
        <v>0.89910000000000001</v>
      </c>
      <c r="M94" s="11">
        <v>1.5562100000000001</v>
      </c>
      <c r="N94" s="11">
        <v>43.705309999999997</v>
      </c>
      <c r="O94" s="11">
        <v>0.97711999999999999</v>
      </c>
      <c r="P94" s="11">
        <v>46.23865</v>
      </c>
      <c r="Q94" s="7"/>
    </row>
    <row r="95" spans="1:17" ht="12.75" customHeight="1" x14ac:dyDescent="0.35">
      <c r="A95" s="6" t="s">
        <v>24</v>
      </c>
      <c r="B95" s="6" t="s">
        <v>25</v>
      </c>
      <c r="C95" s="7">
        <v>2014</v>
      </c>
      <c r="D95" s="8">
        <f t="shared" si="16"/>
        <v>24</v>
      </c>
      <c r="E95" s="9">
        <v>0.86343999999999999</v>
      </c>
      <c r="F95" s="9">
        <v>28.3169</v>
      </c>
      <c r="G95" s="10">
        <v>0</v>
      </c>
      <c r="H95" s="9">
        <f t="shared" si="17"/>
        <v>0.66666666666666663</v>
      </c>
      <c r="I95" s="9">
        <v>1.52E-2</v>
      </c>
      <c r="J95" s="9">
        <v>2.46637</v>
      </c>
      <c r="K95" s="9">
        <v>2.8400000000000002E-2</v>
      </c>
      <c r="L95" s="9">
        <v>1.2988</v>
      </c>
      <c r="M95" s="11">
        <v>2.4168699999999999</v>
      </c>
      <c r="N95" s="11">
        <v>27.713539999999998</v>
      </c>
      <c r="O95" s="11">
        <v>0.96392</v>
      </c>
      <c r="P95" s="11">
        <v>31.094329999999999</v>
      </c>
      <c r="Q95" s="7"/>
    </row>
    <row r="96" spans="1:17" ht="12.75" customHeight="1" x14ac:dyDescent="0.35">
      <c r="A96" s="6" t="s">
        <v>24</v>
      </c>
      <c r="B96" s="6" t="s">
        <v>25</v>
      </c>
      <c r="C96" s="7">
        <v>2015</v>
      </c>
      <c r="D96" s="8">
        <f t="shared" si="16"/>
        <v>25</v>
      </c>
      <c r="E96" s="9">
        <v>0.65673999999999999</v>
      </c>
      <c r="F96" s="9">
        <v>28.476299999999998</v>
      </c>
      <c r="G96" s="10">
        <v>0</v>
      </c>
      <c r="H96" s="9">
        <f t="shared" si="17"/>
        <v>0.66666666666666663</v>
      </c>
      <c r="I96" s="9">
        <v>0.1517</v>
      </c>
      <c r="J96" s="9">
        <v>1.60771</v>
      </c>
      <c r="K96" s="9">
        <v>0.25130000000000002</v>
      </c>
      <c r="L96" s="9">
        <v>1.4897</v>
      </c>
      <c r="M96" s="11">
        <v>2.16588</v>
      </c>
      <c r="N96" s="11">
        <v>28.268999999999998</v>
      </c>
      <c r="O96" s="11">
        <v>0.96462999999999999</v>
      </c>
      <c r="P96" s="11">
        <v>31.3995</v>
      </c>
      <c r="Q96" s="7"/>
    </row>
    <row r="97" spans="1:17" ht="12.75" customHeight="1" x14ac:dyDescent="0.35">
      <c r="A97" s="6" t="s">
        <v>24</v>
      </c>
      <c r="B97" s="6" t="s">
        <v>25</v>
      </c>
      <c r="C97" s="7">
        <v>2016</v>
      </c>
      <c r="D97" s="8">
        <f t="shared" si="16"/>
        <v>26</v>
      </c>
      <c r="E97" s="9">
        <v>0.44474000000000002</v>
      </c>
      <c r="F97" s="9">
        <v>28.526399999999999</v>
      </c>
      <c r="G97" s="10">
        <v>0</v>
      </c>
      <c r="H97" s="9">
        <v>0.66666666666666663</v>
      </c>
      <c r="I97" s="9">
        <v>0.14899999999999999</v>
      </c>
      <c r="J97" s="9">
        <v>1.8008</v>
      </c>
      <c r="K97" s="9">
        <v>0.21529999999999999</v>
      </c>
      <c r="L97" s="9">
        <v>1.3186</v>
      </c>
      <c r="M97" s="11">
        <v>1.6792800000000001</v>
      </c>
      <c r="N97" s="11">
        <v>22.208850000000002</v>
      </c>
      <c r="O97" s="11">
        <v>0.95496999999999999</v>
      </c>
      <c r="P97" s="11">
        <v>24.8431</v>
      </c>
      <c r="Q97" s="7"/>
    </row>
    <row r="98" spans="1:17" ht="12.75" customHeight="1" x14ac:dyDescent="0.35">
      <c r="A98" s="6" t="s">
        <v>24</v>
      </c>
      <c r="B98" s="6" t="s">
        <v>25</v>
      </c>
      <c r="C98" s="7">
        <v>2017</v>
      </c>
      <c r="D98" s="8">
        <f t="shared" si="16"/>
        <v>27</v>
      </c>
      <c r="E98" s="9">
        <v>0.40194000000000002</v>
      </c>
      <c r="F98" s="9">
        <v>28.677299999999999</v>
      </c>
      <c r="G98" s="10">
        <v>0</v>
      </c>
      <c r="H98" s="9">
        <v>0.66666666666666663</v>
      </c>
      <c r="I98" s="9">
        <v>0.39410000000000001</v>
      </c>
      <c r="J98" s="9">
        <v>2.2167300000000001</v>
      </c>
      <c r="K98" s="9">
        <v>0.55249999999999999</v>
      </c>
      <c r="L98" s="9">
        <v>1.8682000000000001</v>
      </c>
      <c r="M98" s="11">
        <v>1.9355599999999999</v>
      </c>
      <c r="N98" s="11">
        <v>31.317029999999999</v>
      </c>
      <c r="O98" s="11">
        <v>0.96806999999999999</v>
      </c>
      <c r="P98" s="11">
        <v>34.220660000000002</v>
      </c>
      <c r="Q98" s="7"/>
    </row>
    <row r="99" spans="1:17" ht="12.75" customHeight="1" x14ac:dyDescent="0.35">
      <c r="A99" s="6" t="s">
        <v>24</v>
      </c>
      <c r="B99" s="6" t="s">
        <v>25</v>
      </c>
      <c r="C99" s="7">
        <v>2018</v>
      </c>
      <c r="D99" s="8">
        <v>28</v>
      </c>
      <c r="E99" s="9">
        <v>0.63100000000000001</v>
      </c>
      <c r="F99" s="9">
        <v>28.916</v>
      </c>
      <c r="G99" s="17">
        <v>0</v>
      </c>
      <c r="H99" s="9">
        <v>0.66669999999999996</v>
      </c>
      <c r="I99" s="9">
        <v>0.28199999999999997</v>
      </c>
      <c r="J99" s="9">
        <v>2.1120000000000001</v>
      </c>
      <c r="K99" s="9">
        <v>0.46</v>
      </c>
      <c r="L99" s="9">
        <v>1.8089999999999999</v>
      </c>
      <c r="M99" s="11">
        <v>2.40802</v>
      </c>
      <c r="N99" s="11">
        <v>32.843980000000002</v>
      </c>
      <c r="O99" s="11">
        <v>0.96955000000000002</v>
      </c>
      <c r="P99" s="11">
        <v>36.221559999999997</v>
      </c>
      <c r="Q99" s="7"/>
    </row>
    <row r="100" spans="1:17" ht="12.75" customHeight="1" x14ac:dyDescent="0.35">
      <c r="A100" s="6" t="s">
        <v>24</v>
      </c>
      <c r="B100" s="6" t="s">
        <v>25</v>
      </c>
      <c r="C100" s="7">
        <v>2019</v>
      </c>
      <c r="D100" s="8">
        <v>29</v>
      </c>
      <c r="E100" s="9">
        <v>0.47199999999999998</v>
      </c>
      <c r="F100" s="9">
        <v>28.879000000000001</v>
      </c>
      <c r="G100" s="17">
        <v>0</v>
      </c>
      <c r="H100" s="9">
        <v>0.66669999999999996</v>
      </c>
      <c r="I100" s="9">
        <v>0.122</v>
      </c>
      <c r="J100" s="9">
        <v>1.6870000000000001</v>
      </c>
      <c r="K100" s="9">
        <v>0.17899999999999999</v>
      </c>
      <c r="L100" s="9">
        <v>1.5649999999999999</v>
      </c>
      <c r="M100" s="11">
        <v>2.25665</v>
      </c>
      <c r="N100" s="11">
        <v>34.418080000000003</v>
      </c>
      <c r="O100" s="11">
        <v>0.97094999999999998</v>
      </c>
      <c r="P100" s="11">
        <v>37.645670000000003</v>
      </c>
      <c r="Q100" s="7"/>
    </row>
    <row r="101" spans="1:17" ht="12.75" customHeight="1" x14ac:dyDescent="0.35">
      <c r="A101" s="6" t="s">
        <v>24</v>
      </c>
      <c r="B101" s="6" t="s">
        <v>25</v>
      </c>
      <c r="C101" s="7">
        <v>2020</v>
      </c>
      <c r="D101" s="8">
        <v>30</v>
      </c>
      <c r="E101" s="9">
        <v>0.38300000000000001</v>
      </c>
      <c r="F101" s="9">
        <v>28.943000000000001</v>
      </c>
      <c r="G101" s="17">
        <v>0</v>
      </c>
      <c r="H101" s="9">
        <v>0.66669999999999996</v>
      </c>
      <c r="I101" s="9">
        <v>0.11600000000000001</v>
      </c>
      <c r="J101" s="9">
        <v>1.4710000000000001</v>
      </c>
      <c r="K101" s="9">
        <v>0.16</v>
      </c>
      <c r="L101" s="9">
        <v>1.2589999999999999</v>
      </c>
      <c r="M101" s="11">
        <v>1.5689500000000001</v>
      </c>
      <c r="N101" s="11">
        <v>27.99605</v>
      </c>
      <c r="O101" s="11">
        <v>0.96428000000000003</v>
      </c>
      <c r="P101" s="11">
        <v>30.52928</v>
      </c>
      <c r="Q101" s="7"/>
    </row>
    <row r="102" spans="1:17" ht="12.75" customHeight="1" x14ac:dyDescent="0.35">
      <c r="A102" s="6" t="s">
        <v>24</v>
      </c>
      <c r="B102" s="6" t="s">
        <v>25</v>
      </c>
      <c r="C102" s="7">
        <v>2021</v>
      </c>
      <c r="D102" s="8">
        <v>31</v>
      </c>
      <c r="E102" s="9">
        <v>0.72299999999999998</v>
      </c>
      <c r="F102" s="9">
        <v>29.457000000000001</v>
      </c>
      <c r="G102" s="17">
        <v>0</v>
      </c>
      <c r="H102" s="9">
        <v>0.66669999999999996</v>
      </c>
      <c r="I102" s="9">
        <v>0.47099999999999997</v>
      </c>
      <c r="J102" s="9">
        <v>2.1429999999999998</v>
      </c>
      <c r="K102" s="9">
        <v>0.81200000000000006</v>
      </c>
      <c r="L102" s="9">
        <v>1.5880000000000001</v>
      </c>
      <c r="M102" s="11">
        <v>1.7271300000000001</v>
      </c>
      <c r="N102" s="11">
        <v>30.969290000000001</v>
      </c>
      <c r="O102" s="11">
        <v>0.96770999999999996</v>
      </c>
      <c r="P102" s="11">
        <v>33.66413</v>
      </c>
      <c r="Q102" s="7"/>
    </row>
    <row r="103" spans="1:17" ht="12.75" customHeight="1" x14ac:dyDescent="0.35">
      <c r="A103" s="6" t="s">
        <v>24</v>
      </c>
      <c r="B103" s="6" t="s">
        <v>25</v>
      </c>
      <c r="C103" s="7">
        <v>2022</v>
      </c>
      <c r="D103" s="8">
        <v>32</v>
      </c>
      <c r="E103" s="9">
        <v>0.83599999999999997</v>
      </c>
      <c r="F103" s="9">
        <v>29.481999999999999</v>
      </c>
      <c r="G103" s="17">
        <v>0</v>
      </c>
      <c r="H103" s="9">
        <v>0.66669999999999996</v>
      </c>
      <c r="I103" s="9">
        <v>0.59299999999999997</v>
      </c>
      <c r="J103" s="9">
        <v>2.2389999999999999</v>
      </c>
      <c r="K103" s="9">
        <v>1.0880000000000001</v>
      </c>
      <c r="L103" s="9">
        <v>2.5419999999999998</v>
      </c>
      <c r="M103" s="11">
        <v>3.2120700000000002</v>
      </c>
      <c r="N103" s="11">
        <v>45.073189999999997</v>
      </c>
      <c r="O103" s="11">
        <v>0.97780999999999996</v>
      </c>
      <c r="P103" s="11">
        <v>49.263069999999999</v>
      </c>
      <c r="Q103" s="7"/>
    </row>
    <row r="104" spans="1:17" ht="12.75" customHeight="1" x14ac:dyDescent="0.35">
      <c r="A104" s="6" t="s">
        <v>26</v>
      </c>
      <c r="B104" s="6" t="s">
        <v>27</v>
      </c>
      <c r="C104" s="7">
        <v>2012</v>
      </c>
      <c r="D104" s="8">
        <f t="shared" ref="D104:D109" si="18">D105-1</f>
        <v>7</v>
      </c>
      <c r="E104" s="9">
        <v>1.31067</v>
      </c>
      <c r="F104" s="9">
        <v>28.7742</v>
      </c>
      <c r="G104" s="10">
        <v>0</v>
      </c>
      <c r="H104" s="9">
        <f t="shared" ref="H104:H107" si="19">H105</f>
        <v>0.66666666666666663</v>
      </c>
      <c r="I104" s="9">
        <v>1.1599999999999999E-2</v>
      </c>
      <c r="J104" s="9">
        <v>0.85772000000000004</v>
      </c>
      <c r="K104" s="9">
        <v>2.69E-2</v>
      </c>
      <c r="L104" s="9">
        <v>0.2087</v>
      </c>
      <c r="M104" s="11">
        <v>0.33213999999999999</v>
      </c>
      <c r="N104" s="11">
        <v>3.1233300000000002</v>
      </c>
      <c r="O104" s="11">
        <v>0.67983000000000005</v>
      </c>
      <c r="P104" s="11">
        <v>4.1353</v>
      </c>
      <c r="Q104" s="7"/>
    </row>
    <row r="105" spans="1:17" ht="12.75" customHeight="1" x14ac:dyDescent="0.35">
      <c r="A105" s="6" t="s">
        <v>26</v>
      </c>
      <c r="B105" s="6" t="s">
        <v>27</v>
      </c>
      <c r="C105" s="7">
        <v>2013</v>
      </c>
      <c r="D105" s="8">
        <f t="shared" si="18"/>
        <v>8</v>
      </c>
      <c r="E105" s="9">
        <v>1.5214799999999999</v>
      </c>
      <c r="F105" s="9">
        <v>28.6157</v>
      </c>
      <c r="G105" s="10">
        <v>0</v>
      </c>
      <c r="H105" s="9">
        <f t="shared" si="19"/>
        <v>0.66666666666666663</v>
      </c>
      <c r="I105" s="9">
        <v>-0.16270000000000001</v>
      </c>
      <c r="J105" s="9">
        <v>0.88526000000000005</v>
      </c>
      <c r="K105" s="9">
        <v>-0.41020000000000001</v>
      </c>
      <c r="L105" s="9">
        <v>0.18509999999999999</v>
      </c>
      <c r="M105" s="11">
        <v>0.49181000000000002</v>
      </c>
      <c r="N105" s="11">
        <v>4.6535000000000002</v>
      </c>
      <c r="O105" s="11">
        <v>0.78510999999999997</v>
      </c>
      <c r="P105" s="11">
        <v>5.9304199999999998</v>
      </c>
      <c r="Q105" s="7"/>
    </row>
    <row r="106" spans="1:17" ht="12.75" customHeight="1" x14ac:dyDescent="0.35">
      <c r="A106" s="6" t="s">
        <v>26</v>
      </c>
      <c r="B106" s="6" t="s">
        <v>27</v>
      </c>
      <c r="C106" s="7">
        <v>2014</v>
      </c>
      <c r="D106" s="8">
        <f t="shared" si="18"/>
        <v>9</v>
      </c>
      <c r="E106" s="9">
        <v>1.4996499999999999</v>
      </c>
      <c r="F106" s="9">
        <v>28.470500000000001</v>
      </c>
      <c r="G106" s="10">
        <v>0</v>
      </c>
      <c r="H106" s="9">
        <f t="shared" si="19"/>
        <v>0.66666666666666663</v>
      </c>
      <c r="I106" s="9">
        <v>-0.1404</v>
      </c>
      <c r="J106" s="9">
        <v>0.96396999999999999</v>
      </c>
      <c r="K106" s="9">
        <v>-0.35089999999999999</v>
      </c>
      <c r="L106" s="9">
        <v>0.21990000000000001</v>
      </c>
      <c r="M106" s="11">
        <v>0.38840999999999998</v>
      </c>
      <c r="N106" s="11">
        <v>3.3297099999999999</v>
      </c>
      <c r="O106" s="11">
        <v>0.69967000000000001</v>
      </c>
      <c r="P106" s="11">
        <v>4.4177900000000001</v>
      </c>
      <c r="Q106" s="7"/>
    </row>
    <row r="107" spans="1:17" ht="12.75" customHeight="1" x14ac:dyDescent="0.35">
      <c r="A107" s="6" t="s">
        <v>26</v>
      </c>
      <c r="B107" s="6" t="s">
        <v>27</v>
      </c>
      <c r="C107" s="7">
        <v>2015</v>
      </c>
      <c r="D107" s="8">
        <f t="shared" si="18"/>
        <v>10</v>
      </c>
      <c r="E107" s="9">
        <v>1.0213099999999999</v>
      </c>
      <c r="F107" s="9">
        <v>28.6496</v>
      </c>
      <c r="G107" s="10">
        <v>0</v>
      </c>
      <c r="H107" s="9">
        <f t="shared" si="19"/>
        <v>0.66666666666666663</v>
      </c>
      <c r="I107" s="9">
        <v>4.8300000000000003E-2</v>
      </c>
      <c r="J107" s="9">
        <v>0.56135999999999997</v>
      </c>
      <c r="K107" s="9">
        <v>9.7600000000000006E-2</v>
      </c>
      <c r="L107" s="9">
        <v>0.24490000000000001</v>
      </c>
      <c r="M107" s="11">
        <v>0.36595</v>
      </c>
      <c r="N107" s="11">
        <v>4.0937099999999997</v>
      </c>
      <c r="O107" s="11">
        <v>0.75571999999999995</v>
      </c>
      <c r="P107" s="11">
        <v>5.2153799999999997</v>
      </c>
      <c r="Q107" s="7"/>
    </row>
    <row r="108" spans="1:17" ht="12.75" customHeight="1" x14ac:dyDescent="0.35">
      <c r="A108" s="6" t="s">
        <v>26</v>
      </c>
      <c r="B108" s="6" t="s">
        <v>27</v>
      </c>
      <c r="C108" s="7">
        <v>2016</v>
      </c>
      <c r="D108" s="8">
        <f t="shared" si="18"/>
        <v>11</v>
      </c>
      <c r="E108" s="9">
        <v>1.4207799999999999</v>
      </c>
      <c r="F108" s="9">
        <v>28.787099999999999</v>
      </c>
      <c r="G108" s="10">
        <v>0</v>
      </c>
      <c r="H108" s="9">
        <v>0.66666666666666663</v>
      </c>
      <c r="I108" s="9">
        <v>2E-3</v>
      </c>
      <c r="J108" s="9">
        <v>0.68086000000000002</v>
      </c>
      <c r="K108" s="9">
        <v>4.8999999999999998E-3</v>
      </c>
      <c r="L108" s="9">
        <v>0.21460000000000001</v>
      </c>
      <c r="M108" s="11">
        <v>0.46983999999999998</v>
      </c>
      <c r="N108" s="11">
        <v>4.1683899999999996</v>
      </c>
      <c r="O108" s="11">
        <v>0.7601</v>
      </c>
      <c r="P108" s="11">
        <v>5.3983299999999996</v>
      </c>
      <c r="Q108" s="7"/>
    </row>
    <row r="109" spans="1:17" ht="12.75" customHeight="1" x14ac:dyDescent="0.35">
      <c r="A109" s="6" t="s">
        <v>26</v>
      </c>
      <c r="B109" s="6" t="s">
        <v>27</v>
      </c>
      <c r="C109" s="7">
        <v>2017</v>
      </c>
      <c r="D109" s="8">
        <f t="shared" si="18"/>
        <v>12</v>
      </c>
      <c r="E109" s="9">
        <v>0.96860000000000002</v>
      </c>
      <c r="F109" s="9">
        <v>29.069500000000001</v>
      </c>
      <c r="G109" s="10">
        <v>0</v>
      </c>
      <c r="H109" s="9">
        <v>0.5</v>
      </c>
      <c r="I109" s="9">
        <v>2.75E-2</v>
      </c>
      <c r="J109" s="9">
        <v>0.65442999999999996</v>
      </c>
      <c r="K109" s="9">
        <v>5.4100000000000002E-2</v>
      </c>
      <c r="L109" s="9">
        <v>0.20930000000000001</v>
      </c>
      <c r="M109" s="11">
        <v>0.32357999999999998</v>
      </c>
      <c r="N109" s="11">
        <v>3.66018</v>
      </c>
      <c r="O109" s="11">
        <v>0.72679000000000005</v>
      </c>
      <c r="P109" s="11">
        <v>4.7105399999999999</v>
      </c>
      <c r="Q109" s="7"/>
    </row>
    <row r="110" spans="1:17" ht="12.75" customHeight="1" x14ac:dyDescent="0.35">
      <c r="A110" s="6" t="s">
        <v>26</v>
      </c>
      <c r="B110" s="6" t="s">
        <v>27</v>
      </c>
      <c r="C110" s="7">
        <v>2018</v>
      </c>
      <c r="D110" s="8">
        <v>13</v>
      </c>
      <c r="E110" s="9">
        <v>0.70299999999999996</v>
      </c>
      <c r="F110" s="9">
        <v>29.213000000000001</v>
      </c>
      <c r="G110" s="17">
        <v>0</v>
      </c>
      <c r="H110" s="9">
        <v>0.5</v>
      </c>
      <c r="I110" s="9">
        <v>4.1000000000000002E-2</v>
      </c>
      <c r="J110" s="9">
        <v>0.59099999999999997</v>
      </c>
      <c r="K110" s="9">
        <v>7.0000000000000007E-2</v>
      </c>
      <c r="L110" s="9">
        <v>0.25900000000000001</v>
      </c>
      <c r="M110" s="11">
        <v>0.34621000000000002</v>
      </c>
      <c r="N110" s="11">
        <v>4.1348900000000004</v>
      </c>
      <c r="O110" s="11">
        <v>0.75815999999999995</v>
      </c>
      <c r="P110" s="11">
        <v>5.2392500000000002</v>
      </c>
      <c r="Q110" s="7"/>
    </row>
    <row r="111" spans="1:17" ht="12.75" customHeight="1" x14ac:dyDescent="0.35">
      <c r="A111" s="6" t="s">
        <v>26</v>
      </c>
      <c r="B111" s="6" t="s">
        <v>27</v>
      </c>
      <c r="C111" s="7">
        <v>2019</v>
      </c>
      <c r="D111" s="8">
        <v>14</v>
      </c>
      <c r="E111" s="9">
        <v>0.94599999999999995</v>
      </c>
      <c r="F111" s="9">
        <v>29.666679999999999</v>
      </c>
      <c r="G111" s="12">
        <v>0</v>
      </c>
      <c r="H111" s="9">
        <v>0.5</v>
      </c>
      <c r="I111" s="9">
        <v>4.224E-2</v>
      </c>
      <c r="J111" s="9">
        <v>0.78500000000000003</v>
      </c>
      <c r="K111" s="9">
        <v>8.2227602784409493E-2</v>
      </c>
      <c r="L111" s="9">
        <v>0.22522415636543464</v>
      </c>
      <c r="M111" s="11">
        <v>0.39247104686088535</v>
      </c>
      <c r="N111" s="11">
        <v>6.0652370425126563</v>
      </c>
      <c r="O111" s="11">
        <v>0.83512598221788081</v>
      </c>
      <c r="P111" s="11">
        <v>7.2928340715914226</v>
      </c>
      <c r="Q111" s="7"/>
    </row>
    <row r="112" spans="1:17" ht="12.75" customHeight="1" x14ac:dyDescent="0.35">
      <c r="A112" s="6" t="s">
        <v>26</v>
      </c>
      <c r="B112" s="6" t="s">
        <v>27</v>
      </c>
      <c r="C112" s="7">
        <v>2020</v>
      </c>
      <c r="D112" s="8">
        <v>15</v>
      </c>
      <c r="E112" s="9">
        <v>1.3660000000000001</v>
      </c>
      <c r="F112" s="9">
        <v>30.088999999999999</v>
      </c>
      <c r="G112" s="17">
        <v>0</v>
      </c>
      <c r="H112" s="9">
        <v>0.66669999999999996</v>
      </c>
      <c r="I112" s="9">
        <v>4.5999999999999999E-2</v>
      </c>
      <c r="J112" s="9">
        <v>1</v>
      </c>
      <c r="K112" s="9">
        <v>0.108</v>
      </c>
      <c r="L112" s="9">
        <v>0</v>
      </c>
      <c r="M112" s="11">
        <v>0.30714999999999998</v>
      </c>
      <c r="N112" s="11">
        <v>3.6878099999999998</v>
      </c>
      <c r="O112" s="11">
        <v>0.72884000000000004</v>
      </c>
      <c r="P112" s="11">
        <v>4.7237900000000002</v>
      </c>
      <c r="Q112" s="7"/>
    </row>
    <row r="113" spans="1:17" ht="12.75" customHeight="1" x14ac:dyDescent="0.35">
      <c r="A113" s="6" t="s">
        <v>26</v>
      </c>
      <c r="B113" s="6" t="s">
        <v>27</v>
      </c>
      <c r="C113" s="7">
        <v>2021</v>
      </c>
      <c r="D113" s="8">
        <v>16</v>
      </c>
      <c r="E113" s="9">
        <v>4.4139999999999997</v>
      </c>
      <c r="F113" s="9">
        <v>29.78153</v>
      </c>
      <c r="G113" s="12">
        <v>0</v>
      </c>
      <c r="H113" s="9">
        <v>0.66669999999999996</v>
      </c>
      <c r="I113" s="9">
        <v>-0.38362000000000002</v>
      </c>
      <c r="J113" s="9">
        <v>0.225357</v>
      </c>
      <c r="K113" s="9">
        <v>-2.0771018894278304</v>
      </c>
      <c r="L113" s="9">
        <v>0.25208060947053162</v>
      </c>
      <c r="M113" s="11">
        <v>1.7306407990271531</v>
      </c>
      <c r="N113" s="11">
        <v>8.8401347011648159</v>
      </c>
      <c r="O113" s="11">
        <v>0.88687955174843258</v>
      </c>
      <c r="P113" s="11">
        <v>11.457655051940401</v>
      </c>
      <c r="Q113" s="7"/>
    </row>
    <row r="114" spans="1:17" ht="12.75" customHeight="1" x14ac:dyDescent="0.35">
      <c r="A114" s="6" t="s">
        <v>28</v>
      </c>
      <c r="B114" s="6" t="s">
        <v>29</v>
      </c>
      <c r="C114" s="7">
        <v>2012</v>
      </c>
      <c r="D114" s="8">
        <f t="shared" ref="D114:D119" si="20">D115-1</f>
        <v>39</v>
      </c>
      <c r="E114" s="9">
        <v>17.753910000000001</v>
      </c>
      <c r="F114" s="9">
        <v>31.864899999999999</v>
      </c>
      <c r="G114" s="10">
        <v>0</v>
      </c>
      <c r="H114" s="9">
        <f t="shared" ref="H114:H117" si="21">H115</f>
        <v>0.66666666666666663</v>
      </c>
      <c r="I114" s="9">
        <v>-9.06E-2</v>
      </c>
      <c r="J114" s="9">
        <v>1.1195200000000001</v>
      </c>
      <c r="K114" s="9">
        <v>-1.6987000000000001</v>
      </c>
      <c r="L114" s="9">
        <v>0.51339999999999997</v>
      </c>
      <c r="M114" s="11">
        <v>8.1285600000000002</v>
      </c>
      <c r="N114" s="11">
        <v>113.44190999999999</v>
      </c>
      <c r="O114" s="11">
        <v>0.99117999999999995</v>
      </c>
      <c r="P114" s="11">
        <v>122.56165</v>
      </c>
      <c r="Q114" s="7"/>
    </row>
    <row r="115" spans="1:17" ht="12.75" customHeight="1" x14ac:dyDescent="0.35">
      <c r="A115" s="6" t="s">
        <v>28</v>
      </c>
      <c r="B115" s="6" t="s">
        <v>29</v>
      </c>
      <c r="C115" s="7">
        <v>2013</v>
      </c>
      <c r="D115" s="8">
        <f t="shared" si="20"/>
        <v>40</v>
      </c>
      <c r="E115" s="9">
        <v>-24.118259999999999</v>
      </c>
      <c r="F115" s="9">
        <v>31.924199999999999</v>
      </c>
      <c r="G115" s="10">
        <v>0</v>
      </c>
      <c r="H115" s="9">
        <f t="shared" si="21"/>
        <v>0.66666666666666663</v>
      </c>
      <c r="I115" s="9">
        <v>-8.6999999999999994E-2</v>
      </c>
      <c r="J115" s="9">
        <v>1.11619</v>
      </c>
      <c r="K115" s="9">
        <v>2.0102000000000002</v>
      </c>
      <c r="L115" s="9">
        <v>0.50649999999999995</v>
      </c>
      <c r="M115" s="11">
        <v>-9.3471100000000007</v>
      </c>
      <c r="N115" s="11">
        <v>112.84773</v>
      </c>
      <c r="O115" s="11">
        <v>0.99114000000000002</v>
      </c>
      <c r="P115" s="11">
        <v>104.49176</v>
      </c>
      <c r="Q115" s="7"/>
    </row>
    <row r="116" spans="1:17" ht="12.75" customHeight="1" x14ac:dyDescent="0.35">
      <c r="A116" s="6" t="s">
        <v>28</v>
      </c>
      <c r="B116" s="6" t="s">
        <v>29</v>
      </c>
      <c r="C116" s="7">
        <v>2014</v>
      </c>
      <c r="D116" s="8">
        <f t="shared" si="20"/>
        <v>41</v>
      </c>
      <c r="E116" s="9">
        <v>-7.1739600000000001</v>
      </c>
      <c r="F116" s="9">
        <v>31.6327</v>
      </c>
      <c r="G116" s="10">
        <v>0</v>
      </c>
      <c r="H116" s="9">
        <f t="shared" si="21"/>
        <v>0.66666666666666663</v>
      </c>
      <c r="I116" s="9">
        <v>-8.0500000000000002E-2</v>
      </c>
      <c r="J116" s="9">
        <v>1.2128699999999999</v>
      </c>
      <c r="K116" s="9">
        <v>0.49690000000000001</v>
      </c>
      <c r="L116" s="9">
        <v>1.35E-2</v>
      </c>
      <c r="M116" s="11">
        <v>1.83474</v>
      </c>
      <c r="N116" s="11">
        <v>-107.02346</v>
      </c>
      <c r="O116" s="11">
        <v>1.0093399999999999</v>
      </c>
      <c r="P116" s="11">
        <v>-104.17937999999999</v>
      </c>
      <c r="Q116" s="7"/>
    </row>
    <row r="117" spans="1:17" ht="12.75" customHeight="1" x14ac:dyDescent="0.35">
      <c r="A117" s="6" t="s">
        <v>28</v>
      </c>
      <c r="B117" s="6" t="s">
        <v>29</v>
      </c>
      <c r="C117" s="7">
        <v>2015</v>
      </c>
      <c r="D117" s="8">
        <f t="shared" si="20"/>
        <v>42</v>
      </c>
      <c r="E117" s="9">
        <v>-2.1684600000000001</v>
      </c>
      <c r="F117" s="9">
        <v>31.447800000000001</v>
      </c>
      <c r="G117" s="10">
        <v>0</v>
      </c>
      <c r="H117" s="9">
        <f t="shared" si="21"/>
        <v>0.66666666666666663</v>
      </c>
      <c r="I117" s="9">
        <v>-0.56730000000000003</v>
      </c>
      <c r="J117" s="9">
        <v>1.8953100000000001</v>
      </c>
      <c r="K117" s="9">
        <v>0.66279999999999994</v>
      </c>
      <c r="L117" s="9">
        <v>1.1900000000000001E-2</v>
      </c>
      <c r="M117" s="11">
        <v>-0.14677000000000001</v>
      </c>
      <c r="N117" s="11">
        <v>50.236840000000001</v>
      </c>
      <c r="O117" s="11">
        <v>0.98009000000000002</v>
      </c>
      <c r="P117" s="11">
        <v>51.070160000000001</v>
      </c>
      <c r="Q117" s="7"/>
    </row>
    <row r="118" spans="1:17" ht="12.75" customHeight="1" x14ac:dyDescent="0.35">
      <c r="A118" s="6" t="s">
        <v>28</v>
      </c>
      <c r="B118" s="6" t="s">
        <v>29</v>
      </c>
      <c r="C118" s="7">
        <v>2016</v>
      </c>
      <c r="D118" s="8">
        <f t="shared" si="20"/>
        <v>43</v>
      </c>
      <c r="E118" s="9">
        <v>-2.1139800000000002</v>
      </c>
      <c r="F118" s="9">
        <v>31.351500000000001</v>
      </c>
      <c r="G118" s="10">
        <v>0</v>
      </c>
      <c r="H118" s="9">
        <v>0.66666666666666663</v>
      </c>
      <c r="I118" s="9">
        <v>2.18E-2</v>
      </c>
      <c r="J118" s="9">
        <v>2.14167</v>
      </c>
      <c r="K118" s="9">
        <v>-2.4299999999999999E-2</v>
      </c>
      <c r="L118" s="9">
        <v>7.4999999999999997E-3</v>
      </c>
      <c r="M118" s="11">
        <v>0.13624</v>
      </c>
      <c r="N118" s="11">
        <v>-47.649329999999999</v>
      </c>
      <c r="O118" s="11">
        <v>1.0209900000000001</v>
      </c>
      <c r="P118" s="11">
        <v>-46.492109999999997</v>
      </c>
      <c r="Q118" s="7"/>
    </row>
    <row r="119" spans="1:17" ht="12.75" customHeight="1" x14ac:dyDescent="0.35">
      <c r="A119" s="6" t="s">
        <v>28</v>
      </c>
      <c r="B119" s="6" t="s">
        <v>29</v>
      </c>
      <c r="C119" s="7">
        <v>2017</v>
      </c>
      <c r="D119" s="8">
        <f t="shared" si="20"/>
        <v>44</v>
      </c>
      <c r="E119" s="9">
        <v>11.90898</v>
      </c>
      <c r="F119" s="9">
        <v>31.544699999999999</v>
      </c>
      <c r="G119" s="10">
        <v>0</v>
      </c>
      <c r="H119" s="9">
        <v>0.5</v>
      </c>
      <c r="I119" s="9">
        <v>0.10100000000000001</v>
      </c>
      <c r="J119" s="9">
        <v>1.2749999999999999</v>
      </c>
      <c r="K119" s="9">
        <v>1.3035000000000001</v>
      </c>
      <c r="L119" s="9">
        <v>4.7000000000000002E-3</v>
      </c>
      <c r="M119" s="11">
        <v>-3.4146899999999998</v>
      </c>
      <c r="N119" s="11">
        <v>-116.01791</v>
      </c>
      <c r="O119" s="11">
        <v>1.0086200000000001</v>
      </c>
      <c r="P119" s="11">
        <v>-118.42398</v>
      </c>
      <c r="Q119" s="7"/>
    </row>
    <row r="120" spans="1:17" ht="12.75" customHeight="1" x14ac:dyDescent="0.35">
      <c r="A120" s="6" t="s">
        <v>28</v>
      </c>
      <c r="B120" s="6" t="s">
        <v>29</v>
      </c>
      <c r="C120" s="7">
        <v>2018</v>
      </c>
      <c r="D120" s="8">
        <v>45</v>
      </c>
      <c r="E120" s="9">
        <v>6.758</v>
      </c>
      <c r="F120" s="9">
        <v>31.684999999999999</v>
      </c>
      <c r="G120" s="17">
        <v>0</v>
      </c>
      <c r="H120" s="9">
        <v>0.5</v>
      </c>
      <c r="I120" s="9">
        <v>5.6000000000000001E-2</v>
      </c>
      <c r="J120" s="9">
        <v>0.99</v>
      </c>
      <c r="K120" s="9">
        <v>0.438</v>
      </c>
      <c r="L120" s="9">
        <v>0.28499999999999998</v>
      </c>
      <c r="M120" s="11">
        <v>1.7563500000000001</v>
      </c>
      <c r="N120" s="11">
        <v>64.310010000000005</v>
      </c>
      <c r="O120" s="11">
        <v>0.98445000000000005</v>
      </c>
      <c r="P120" s="11">
        <v>67.050820000000002</v>
      </c>
      <c r="Q120" s="7"/>
    </row>
    <row r="121" spans="1:17" ht="12.75" customHeight="1" x14ac:dyDescent="0.35">
      <c r="A121" s="6" t="s">
        <v>28</v>
      </c>
      <c r="B121" s="6" t="s">
        <v>29</v>
      </c>
      <c r="C121" s="7">
        <v>2019</v>
      </c>
      <c r="D121" s="8">
        <v>46</v>
      </c>
      <c r="E121" s="9">
        <v>6.2610000000000001</v>
      </c>
      <c r="F121" s="9">
        <v>31.571999999999999</v>
      </c>
      <c r="G121" s="17">
        <v>0</v>
      </c>
      <c r="H121" s="9">
        <v>0.5</v>
      </c>
      <c r="I121" s="9">
        <v>3.0000000000000001E-3</v>
      </c>
      <c r="J121" s="9">
        <v>0.47599999999999998</v>
      </c>
      <c r="K121" s="9">
        <v>1.9E-2</v>
      </c>
      <c r="L121" s="9">
        <v>0</v>
      </c>
      <c r="M121" s="11">
        <v>1.8677900000000001</v>
      </c>
      <c r="N121" s="11">
        <v>56.632809999999999</v>
      </c>
      <c r="O121" s="11">
        <v>0.98233999999999999</v>
      </c>
      <c r="P121" s="11">
        <v>59.482939999999999</v>
      </c>
      <c r="Q121" s="7"/>
    </row>
    <row r="122" spans="1:17" ht="12.75" customHeight="1" x14ac:dyDescent="0.35">
      <c r="A122" s="6" t="s">
        <v>28</v>
      </c>
      <c r="B122" s="6" t="s">
        <v>29</v>
      </c>
      <c r="C122" s="7">
        <v>2020</v>
      </c>
      <c r="D122" s="8">
        <v>47</v>
      </c>
      <c r="E122" s="9">
        <v>24.849</v>
      </c>
      <c r="F122" s="9">
        <v>31.51</v>
      </c>
      <c r="G122" s="17">
        <v>0</v>
      </c>
      <c r="H122" s="9">
        <v>0.5</v>
      </c>
      <c r="I122" s="9">
        <v>-9.8000000000000004E-2</v>
      </c>
      <c r="J122" s="9">
        <v>0.55300000000000005</v>
      </c>
      <c r="K122" s="9">
        <v>-2.5430000000000001</v>
      </c>
      <c r="L122" s="9">
        <v>0</v>
      </c>
      <c r="M122" s="11">
        <v>4.4707699999999999</v>
      </c>
      <c r="N122" s="11">
        <v>43.831359999999997</v>
      </c>
      <c r="O122" s="11">
        <v>0.97719</v>
      </c>
      <c r="P122" s="11">
        <v>49.279310000000002</v>
      </c>
      <c r="Q122" s="7"/>
    </row>
    <row r="123" spans="1:17" ht="12.75" customHeight="1" x14ac:dyDescent="0.35">
      <c r="A123" s="6" t="s">
        <v>28</v>
      </c>
      <c r="B123" s="6" t="s">
        <v>29</v>
      </c>
      <c r="C123" s="7">
        <v>2021</v>
      </c>
      <c r="D123" s="8">
        <v>48</v>
      </c>
      <c r="E123" s="9">
        <v>5.5339999999999998</v>
      </c>
      <c r="F123" s="9">
        <v>31.73</v>
      </c>
      <c r="G123" s="17">
        <v>0</v>
      </c>
      <c r="H123" s="9">
        <v>0.5</v>
      </c>
      <c r="I123" s="9">
        <v>5.2999999999999999E-2</v>
      </c>
      <c r="J123" s="9">
        <v>0.41299999999999998</v>
      </c>
      <c r="K123" s="9">
        <v>0.34599999999999997</v>
      </c>
      <c r="L123" s="9">
        <v>0.20399999999999999</v>
      </c>
      <c r="M123" s="11">
        <v>0.88959999999999995</v>
      </c>
      <c r="N123" s="11">
        <v>49.756180000000001</v>
      </c>
      <c r="O123" s="11">
        <v>0.97989999999999999</v>
      </c>
      <c r="P123" s="11">
        <v>51.625689999999999</v>
      </c>
      <c r="Q123" s="7"/>
    </row>
    <row r="124" spans="1:17" ht="12.75" customHeight="1" x14ac:dyDescent="0.35">
      <c r="A124" s="6" t="s">
        <v>28</v>
      </c>
      <c r="B124" s="6" t="s">
        <v>29</v>
      </c>
      <c r="C124" s="7">
        <v>2022</v>
      </c>
      <c r="D124" s="8">
        <v>49</v>
      </c>
      <c r="E124" s="9">
        <v>0.59199999999999997</v>
      </c>
      <c r="F124" s="9">
        <v>31.888000000000002</v>
      </c>
      <c r="G124" s="17">
        <v>0</v>
      </c>
      <c r="H124" s="9">
        <v>0.33329999999999999</v>
      </c>
      <c r="I124" s="9">
        <v>0.124</v>
      </c>
      <c r="J124" s="9">
        <v>0.84699999999999998</v>
      </c>
      <c r="K124" s="9">
        <v>0.19800000000000001</v>
      </c>
      <c r="L124" s="9">
        <v>0.40799999999999997</v>
      </c>
      <c r="M124" s="11">
        <v>0.49142000000000002</v>
      </c>
      <c r="N124" s="11">
        <v>94.609499999999997</v>
      </c>
      <c r="O124" s="11">
        <v>0.98943000000000003</v>
      </c>
      <c r="P124" s="11">
        <v>96.090360000000004</v>
      </c>
      <c r="Q124" s="7"/>
    </row>
    <row r="125" spans="1:17" ht="12.75" customHeight="1" x14ac:dyDescent="0.35">
      <c r="A125" s="6" t="s">
        <v>30</v>
      </c>
      <c r="B125" s="6" t="s">
        <v>31</v>
      </c>
      <c r="C125" s="7">
        <v>2015</v>
      </c>
      <c r="D125" s="8">
        <f t="shared" ref="D125:D127" si="22">D126-1</f>
        <v>11</v>
      </c>
      <c r="E125" s="9">
        <v>4.4475600000000002</v>
      </c>
      <c r="F125" s="9">
        <v>30.1615</v>
      </c>
      <c r="G125" s="10">
        <v>1</v>
      </c>
      <c r="H125" s="9">
        <f>H126</f>
        <v>0.5</v>
      </c>
      <c r="I125" s="9">
        <v>-6.8699999999999997E-2</v>
      </c>
      <c r="J125" s="9">
        <v>2.8454100000000002</v>
      </c>
      <c r="K125" s="9">
        <v>-0.37409999999999999</v>
      </c>
      <c r="L125" s="9">
        <v>0.49580000000000002</v>
      </c>
      <c r="M125" s="11">
        <v>2.57036</v>
      </c>
      <c r="N125" s="11">
        <v>11.70298</v>
      </c>
      <c r="O125" s="11">
        <v>0.91454999999999997</v>
      </c>
      <c r="P125" s="11">
        <v>15.187889999999999</v>
      </c>
      <c r="Q125" s="7"/>
    </row>
    <row r="126" spans="1:17" ht="12.75" customHeight="1" x14ac:dyDescent="0.35">
      <c r="A126" s="6" t="s">
        <v>30</v>
      </c>
      <c r="B126" s="6" t="s">
        <v>31</v>
      </c>
      <c r="C126" s="7">
        <v>2016</v>
      </c>
      <c r="D126" s="8">
        <f t="shared" si="22"/>
        <v>12</v>
      </c>
      <c r="E126" s="9">
        <v>3.3831099999999998</v>
      </c>
      <c r="F126" s="9">
        <v>30.026599999999998</v>
      </c>
      <c r="G126" s="10">
        <v>1</v>
      </c>
      <c r="H126" s="9">
        <v>0.5</v>
      </c>
      <c r="I126" s="9">
        <v>3.49E-2</v>
      </c>
      <c r="J126" s="9">
        <v>2.5769600000000001</v>
      </c>
      <c r="K126" s="9">
        <v>0.15279999999999999</v>
      </c>
      <c r="L126" s="9">
        <v>0.67359999999999998</v>
      </c>
      <c r="M126" s="11">
        <v>2.2914500000000002</v>
      </c>
      <c r="N126" s="11">
        <v>10.73738</v>
      </c>
      <c r="O126" s="11">
        <v>0.90686999999999995</v>
      </c>
      <c r="P126" s="11">
        <v>13.935689999999999</v>
      </c>
      <c r="Q126" s="7"/>
    </row>
    <row r="127" spans="1:17" ht="12.75" customHeight="1" x14ac:dyDescent="0.35">
      <c r="A127" s="6" t="s">
        <v>30</v>
      </c>
      <c r="B127" s="6" t="s">
        <v>31</v>
      </c>
      <c r="C127" s="7">
        <v>2017</v>
      </c>
      <c r="D127" s="8">
        <f t="shared" si="22"/>
        <v>13</v>
      </c>
      <c r="E127" s="9">
        <v>0.72382999999999997</v>
      </c>
      <c r="F127" s="9">
        <v>30.119399999999999</v>
      </c>
      <c r="G127" s="10">
        <v>1</v>
      </c>
      <c r="H127" s="9">
        <v>0.5</v>
      </c>
      <c r="I127" s="9">
        <v>0.35980000000000001</v>
      </c>
      <c r="J127" s="9">
        <v>3.3541599999999998</v>
      </c>
      <c r="K127" s="9">
        <v>0.62029999999999996</v>
      </c>
      <c r="L127" s="9">
        <v>1.2009000000000001</v>
      </c>
      <c r="M127" s="11">
        <v>1.23261</v>
      </c>
      <c r="N127" s="11">
        <v>14.6556</v>
      </c>
      <c r="O127" s="11">
        <v>0.93176999999999999</v>
      </c>
      <c r="P127" s="11">
        <v>16.819980000000001</v>
      </c>
      <c r="Q127" s="7"/>
    </row>
    <row r="128" spans="1:17" ht="12.75" customHeight="1" x14ac:dyDescent="0.35">
      <c r="A128" s="6" t="s">
        <v>30</v>
      </c>
      <c r="B128" s="6" t="s">
        <v>31</v>
      </c>
      <c r="C128" s="7">
        <v>2018</v>
      </c>
      <c r="D128" s="8">
        <v>14</v>
      </c>
      <c r="E128" s="9">
        <v>0.69699999999999995</v>
      </c>
      <c r="F128" s="9">
        <v>30.463000000000001</v>
      </c>
      <c r="G128" s="17">
        <v>0</v>
      </c>
      <c r="H128" s="9">
        <v>0.5</v>
      </c>
      <c r="I128" s="9">
        <v>0.435</v>
      </c>
      <c r="J128" s="9">
        <v>4.3860000000000001</v>
      </c>
      <c r="K128" s="9">
        <v>0.73799999999999999</v>
      </c>
      <c r="L128" s="9">
        <v>1.4570000000000001</v>
      </c>
      <c r="M128" s="11">
        <v>1.5172000000000001</v>
      </c>
      <c r="N128" s="11">
        <v>20.684989999999999</v>
      </c>
      <c r="O128" s="11">
        <v>0.95165999999999995</v>
      </c>
      <c r="P128" s="11">
        <v>23.153849999999998</v>
      </c>
      <c r="Q128" s="7"/>
    </row>
    <row r="129" spans="1:17" ht="12.75" customHeight="1" x14ac:dyDescent="0.35">
      <c r="A129" s="6" t="s">
        <v>30</v>
      </c>
      <c r="B129" s="6" t="s">
        <v>31</v>
      </c>
      <c r="C129" s="7">
        <v>2019</v>
      </c>
      <c r="D129" s="8">
        <v>15</v>
      </c>
      <c r="E129" s="9">
        <v>1.0640000000000001</v>
      </c>
      <c r="F129" s="9">
        <v>30.508310000000002</v>
      </c>
      <c r="G129" s="12">
        <v>1</v>
      </c>
      <c r="H129" s="9">
        <v>0.5</v>
      </c>
      <c r="I129" s="9">
        <v>0.18326000000000001</v>
      </c>
      <c r="J129" s="9">
        <v>3.0350000000000001</v>
      </c>
      <c r="K129" s="9">
        <v>0.37832140488080862</v>
      </c>
      <c r="L129" s="9">
        <v>1.1137631311772265</v>
      </c>
      <c r="M129" s="11">
        <v>2.0608110767166523</v>
      </c>
      <c r="N129" s="11">
        <v>22.368055493111932</v>
      </c>
      <c r="O129" s="11">
        <v>0.95529338702204392</v>
      </c>
      <c r="P129" s="11">
        <v>25.384159956850631</v>
      </c>
      <c r="Q129" s="7"/>
    </row>
    <row r="130" spans="1:17" ht="12.75" customHeight="1" x14ac:dyDescent="0.35">
      <c r="A130" s="6" t="s">
        <v>30</v>
      </c>
      <c r="B130" s="6" t="s">
        <v>31</v>
      </c>
      <c r="C130" s="7">
        <v>2020</v>
      </c>
      <c r="D130" s="8">
        <v>16</v>
      </c>
      <c r="E130" s="9">
        <v>0.88</v>
      </c>
      <c r="F130" s="9">
        <v>30.76</v>
      </c>
      <c r="G130" s="17">
        <v>1</v>
      </c>
      <c r="H130" s="9">
        <v>0.66669999999999996</v>
      </c>
      <c r="I130" s="9">
        <v>0.21299999999999999</v>
      </c>
      <c r="J130" s="9">
        <v>2.3050000000000002</v>
      </c>
      <c r="K130" s="9">
        <v>0.4</v>
      </c>
      <c r="L130" s="9">
        <v>0.86099999999999999</v>
      </c>
      <c r="M130" s="11">
        <v>1.3193699999999999</v>
      </c>
      <c r="N130" s="11">
        <v>18.850529999999999</v>
      </c>
      <c r="O130" s="11">
        <v>0.94694999999999996</v>
      </c>
      <c r="P130" s="11">
        <v>21.116849999999999</v>
      </c>
      <c r="Q130" s="7"/>
    </row>
    <row r="131" spans="1:17" ht="12.75" customHeight="1" x14ac:dyDescent="0.35">
      <c r="A131" s="6" t="s">
        <v>30</v>
      </c>
      <c r="B131" s="6" t="s">
        <v>31</v>
      </c>
      <c r="C131" s="7">
        <v>2021</v>
      </c>
      <c r="D131" s="8">
        <v>17</v>
      </c>
      <c r="E131" s="9">
        <v>0.30599999999999999</v>
      </c>
      <c r="F131" s="9">
        <v>31.178999999999998</v>
      </c>
      <c r="G131" s="17">
        <v>1</v>
      </c>
      <c r="H131" s="9">
        <v>0.75</v>
      </c>
      <c r="I131" s="9">
        <v>0.52</v>
      </c>
      <c r="J131" s="9">
        <v>2.6150000000000002</v>
      </c>
      <c r="K131" s="9">
        <v>0.68</v>
      </c>
      <c r="L131" s="9">
        <v>1.1719999999999999</v>
      </c>
      <c r="M131" s="11">
        <v>0.63824000000000003</v>
      </c>
      <c r="N131" s="11">
        <v>15.52805</v>
      </c>
      <c r="O131" s="11">
        <v>0.93559999999999999</v>
      </c>
      <c r="P131" s="11">
        <v>17.101890000000001</v>
      </c>
      <c r="Q131" s="7"/>
    </row>
    <row r="132" spans="1:17" ht="12.75" customHeight="1" x14ac:dyDescent="0.35">
      <c r="A132" s="6" t="s">
        <v>30</v>
      </c>
      <c r="B132" s="6" t="s">
        <v>31</v>
      </c>
      <c r="C132" s="7">
        <v>2022</v>
      </c>
      <c r="D132" s="8">
        <v>18</v>
      </c>
      <c r="E132" s="9">
        <v>0.97699999999999998</v>
      </c>
      <c r="F132" s="9">
        <v>31.759</v>
      </c>
      <c r="G132" s="17">
        <v>1</v>
      </c>
      <c r="H132" s="9">
        <v>0.75</v>
      </c>
      <c r="I132" s="9">
        <v>0.58299999999999996</v>
      </c>
      <c r="J132" s="9">
        <v>1.177</v>
      </c>
      <c r="K132" s="9">
        <v>1.1539999999999999</v>
      </c>
      <c r="L132" s="9">
        <v>1.1919999999999999</v>
      </c>
      <c r="M132" s="11">
        <v>0.75641999999999998</v>
      </c>
      <c r="N132" s="11">
        <v>11.13367</v>
      </c>
      <c r="O132" s="11">
        <v>0.91017999999999999</v>
      </c>
      <c r="P132" s="11">
        <v>12.800269999999999</v>
      </c>
      <c r="Q132" s="7"/>
    </row>
    <row r="133" spans="1:17" ht="12.75" customHeight="1" x14ac:dyDescent="0.35">
      <c r="A133" s="6" t="s">
        <v>32</v>
      </c>
      <c r="B133" s="6" t="s">
        <v>33</v>
      </c>
      <c r="C133" s="7">
        <v>2014</v>
      </c>
      <c r="D133" s="8">
        <f t="shared" ref="D133:D136" si="23">D134-1</f>
        <v>10</v>
      </c>
      <c r="E133" s="9">
        <v>4.6944499999999998</v>
      </c>
      <c r="F133" s="9">
        <v>27.689</v>
      </c>
      <c r="G133" s="10">
        <v>0</v>
      </c>
      <c r="H133" s="9">
        <f t="shared" ref="H133:H134" si="24">H134</f>
        <v>0.5</v>
      </c>
      <c r="I133" s="9">
        <v>5.1999999999999998E-3</v>
      </c>
      <c r="J133" s="9">
        <v>1.02651</v>
      </c>
      <c r="K133" s="9">
        <v>2.98E-2</v>
      </c>
      <c r="L133" s="9">
        <v>0.19969999999999999</v>
      </c>
      <c r="M133" s="11">
        <v>1.01251</v>
      </c>
      <c r="N133" s="11">
        <v>12.53992</v>
      </c>
      <c r="O133" s="11">
        <v>0.92025000000000001</v>
      </c>
      <c r="P133" s="11">
        <v>14.47269</v>
      </c>
      <c r="Q133" s="7"/>
    </row>
    <row r="134" spans="1:17" ht="12.75" customHeight="1" x14ac:dyDescent="0.35">
      <c r="A134" s="6" t="s">
        <v>32</v>
      </c>
      <c r="B134" s="6" t="s">
        <v>33</v>
      </c>
      <c r="C134" s="7">
        <v>2015</v>
      </c>
      <c r="D134" s="8">
        <f t="shared" si="23"/>
        <v>11</v>
      </c>
      <c r="E134" s="9">
        <v>6.7349199999999998</v>
      </c>
      <c r="F134" s="9">
        <v>27.708100000000002</v>
      </c>
      <c r="G134" s="10">
        <v>0</v>
      </c>
      <c r="H134" s="9">
        <f t="shared" si="24"/>
        <v>0.5</v>
      </c>
      <c r="I134" s="9">
        <v>-6.5000000000000002E-2</v>
      </c>
      <c r="J134" s="9">
        <v>1.0751999999999999</v>
      </c>
      <c r="K134" s="9">
        <v>-0.50249999999999995</v>
      </c>
      <c r="L134" s="9">
        <v>0.12640000000000001</v>
      </c>
      <c r="M134" s="11">
        <v>1.36338</v>
      </c>
      <c r="N134" s="11">
        <v>35.014780000000002</v>
      </c>
      <c r="O134" s="11">
        <v>0.97143999999999997</v>
      </c>
      <c r="P134" s="11">
        <v>37.349600000000002</v>
      </c>
      <c r="Q134" s="7"/>
    </row>
    <row r="135" spans="1:17" ht="12.75" customHeight="1" x14ac:dyDescent="0.35">
      <c r="A135" s="6" t="s">
        <v>32</v>
      </c>
      <c r="B135" s="6" t="s">
        <v>33</v>
      </c>
      <c r="C135" s="7">
        <v>2016</v>
      </c>
      <c r="D135" s="8">
        <f t="shared" si="23"/>
        <v>12</v>
      </c>
      <c r="E135" s="9">
        <v>24.773669999999999</v>
      </c>
      <c r="F135" s="9">
        <v>27.5456</v>
      </c>
      <c r="G135" s="10">
        <v>0</v>
      </c>
      <c r="H135" s="9">
        <v>0.5</v>
      </c>
      <c r="I135" s="9">
        <v>-0.11219999999999999</v>
      </c>
      <c r="J135" s="9">
        <v>1.2026600000000001</v>
      </c>
      <c r="K135" s="9">
        <v>-2.8906000000000001</v>
      </c>
      <c r="L135" s="9">
        <v>6.59E-2</v>
      </c>
      <c r="M135" s="11">
        <v>4.8972800000000003</v>
      </c>
      <c r="N135" s="11">
        <v>8.6420600000000007</v>
      </c>
      <c r="O135" s="11">
        <v>0.88429000000000002</v>
      </c>
      <c r="P135" s="11">
        <v>14.42362</v>
      </c>
      <c r="Q135" s="7"/>
    </row>
    <row r="136" spans="1:17" ht="12.75" customHeight="1" x14ac:dyDescent="0.35">
      <c r="A136" s="6" t="s">
        <v>32</v>
      </c>
      <c r="B136" s="6" t="s">
        <v>33</v>
      </c>
      <c r="C136" s="7">
        <v>2017</v>
      </c>
      <c r="D136" s="8">
        <f t="shared" si="23"/>
        <v>13</v>
      </c>
      <c r="E136" s="9">
        <v>-20.304510000000001</v>
      </c>
      <c r="F136" s="9">
        <v>27.4648</v>
      </c>
      <c r="G136" s="10">
        <v>0</v>
      </c>
      <c r="H136" s="9">
        <f>H137</f>
        <v>0.5</v>
      </c>
      <c r="I136" s="9">
        <v>-9.4600000000000004E-2</v>
      </c>
      <c r="J136" s="9">
        <v>1.58718</v>
      </c>
      <c r="K136" s="9">
        <v>1.8270999999999999</v>
      </c>
      <c r="L136" s="9">
        <v>6.9900000000000004E-2</v>
      </c>
      <c r="M136" s="11">
        <v>-3.3740000000000001</v>
      </c>
      <c r="N136" s="11">
        <v>9.4670699999999997</v>
      </c>
      <c r="O136" s="11">
        <v>0.89437</v>
      </c>
      <c r="P136" s="11">
        <v>6.9874499999999999</v>
      </c>
      <c r="Q136" s="7"/>
    </row>
    <row r="137" spans="1:17" ht="12.75" customHeight="1" x14ac:dyDescent="0.35">
      <c r="A137" s="6" t="s">
        <v>32</v>
      </c>
      <c r="B137" s="6" t="s">
        <v>33</v>
      </c>
      <c r="C137" s="7">
        <v>2018</v>
      </c>
      <c r="D137" s="8">
        <v>14</v>
      </c>
      <c r="E137" s="9">
        <v>-8.6639999999999997</v>
      </c>
      <c r="F137" s="9">
        <v>27.47</v>
      </c>
      <c r="G137" s="17">
        <v>0</v>
      </c>
      <c r="H137" s="9">
        <v>0.5</v>
      </c>
      <c r="I137" s="9">
        <v>-7.4999999999999997E-2</v>
      </c>
      <c r="J137" s="9">
        <v>1.361</v>
      </c>
      <c r="K137" s="9">
        <v>0.57199999999999995</v>
      </c>
      <c r="L137" s="9">
        <v>0.04</v>
      </c>
      <c r="M137" s="11">
        <v>-0.94027000000000005</v>
      </c>
      <c r="N137" s="11">
        <v>10.311500000000001</v>
      </c>
      <c r="O137" s="11">
        <v>0.90302000000000004</v>
      </c>
      <c r="P137" s="11">
        <v>10.27425</v>
      </c>
      <c r="Q137" s="7"/>
    </row>
    <row r="138" spans="1:17" ht="12.75" customHeight="1" x14ac:dyDescent="0.35">
      <c r="A138" s="6" t="s">
        <v>32</v>
      </c>
      <c r="B138" s="6" t="s">
        <v>33</v>
      </c>
      <c r="C138" s="7">
        <v>2019</v>
      </c>
      <c r="D138" s="8">
        <v>15</v>
      </c>
      <c r="E138" s="9">
        <v>-2.2930000000000001</v>
      </c>
      <c r="F138" s="9">
        <v>26.753</v>
      </c>
      <c r="G138" s="10">
        <v>0</v>
      </c>
      <c r="H138" s="9">
        <v>0.5</v>
      </c>
      <c r="I138" s="9">
        <v>-0.19400000000000001</v>
      </c>
      <c r="J138" s="9">
        <v>2.0819999999999999</v>
      </c>
      <c r="K138" s="9">
        <v>0.25</v>
      </c>
      <c r="L138" s="9">
        <v>5.7000000000000002E-2</v>
      </c>
      <c r="M138" s="11">
        <v>-0.24303</v>
      </c>
      <c r="N138" s="11">
        <v>8.6783699999999993</v>
      </c>
      <c r="O138" s="11">
        <v>0.88476999999999995</v>
      </c>
      <c r="P138" s="11">
        <v>9.3201099999999997</v>
      </c>
      <c r="Q138" s="7"/>
    </row>
    <row r="139" spans="1:17" ht="12.75" customHeight="1" x14ac:dyDescent="0.35">
      <c r="A139" s="6" t="s">
        <v>32</v>
      </c>
      <c r="B139" s="6" t="s">
        <v>33</v>
      </c>
      <c r="C139" s="7">
        <v>2020</v>
      </c>
      <c r="D139" s="8">
        <v>16</v>
      </c>
      <c r="E139" s="9">
        <v>-1.9930000000000001</v>
      </c>
      <c r="F139" s="9">
        <v>26.582999999999998</v>
      </c>
      <c r="G139" s="10">
        <v>0</v>
      </c>
      <c r="H139" s="9">
        <v>0.5</v>
      </c>
      <c r="I139" s="9">
        <v>-7.6999999999999999E-2</v>
      </c>
      <c r="J139" s="9">
        <v>2.44</v>
      </c>
      <c r="K139" s="9">
        <v>7.5999999999999998E-2</v>
      </c>
      <c r="L139" s="9">
        <v>0.11</v>
      </c>
      <c r="M139" s="11">
        <v>-0.34988999999999998</v>
      </c>
      <c r="N139" s="11">
        <v>17.728210000000001</v>
      </c>
      <c r="O139" s="11">
        <v>0.94359000000000004</v>
      </c>
      <c r="P139" s="11">
        <v>18.321919999999999</v>
      </c>
      <c r="Q139" s="7"/>
    </row>
    <row r="140" spans="1:17" ht="12.75" customHeight="1" x14ac:dyDescent="0.35">
      <c r="A140" s="6" t="s">
        <v>32</v>
      </c>
      <c r="B140" s="6" t="s">
        <v>33</v>
      </c>
      <c r="C140" s="7">
        <v>2021</v>
      </c>
      <c r="D140" s="8">
        <v>17</v>
      </c>
      <c r="E140" s="9">
        <v>-1.7609999999999999</v>
      </c>
      <c r="F140" s="9">
        <v>26.416</v>
      </c>
      <c r="G140" s="10">
        <v>0</v>
      </c>
      <c r="H140" s="9">
        <v>0.5</v>
      </c>
      <c r="I140" s="9">
        <v>-9.6000000000000002E-2</v>
      </c>
      <c r="J140" s="9">
        <v>2.6539999999999999</v>
      </c>
      <c r="K140" s="9">
        <v>7.2999999999999995E-2</v>
      </c>
      <c r="L140" s="9">
        <v>0.153</v>
      </c>
      <c r="M140" s="11">
        <v>-0.20879</v>
      </c>
      <c r="N140" s="11">
        <v>13.495760000000001</v>
      </c>
      <c r="O140" s="11">
        <v>0.92589999999999995</v>
      </c>
      <c r="P140" s="11">
        <v>14.212870000000001</v>
      </c>
      <c r="Q140" s="7"/>
    </row>
    <row r="141" spans="1:17" ht="12.75" customHeight="1" x14ac:dyDescent="0.35">
      <c r="A141" s="6" t="s">
        <v>34</v>
      </c>
      <c r="B141" s="6" t="s">
        <v>35</v>
      </c>
      <c r="C141" s="7">
        <v>2012</v>
      </c>
      <c r="D141" s="8">
        <f t="shared" ref="D141:D146" si="25">D142-1</f>
        <v>13</v>
      </c>
      <c r="E141" s="9">
        <v>0.63666</v>
      </c>
      <c r="F141" s="9">
        <v>28.038799999999998</v>
      </c>
      <c r="G141" s="10">
        <v>0</v>
      </c>
      <c r="H141" s="9">
        <f t="shared" ref="H141:H144" si="26">H142</f>
        <v>0.66666666666666663</v>
      </c>
      <c r="I141" s="9">
        <v>5.4300000000000001E-2</v>
      </c>
      <c r="J141" s="9">
        <v>1.4057999999999999</v>
      </c>
      <c r="K141" s="9">
        <v>8.8800000000000004E-2</v>
      </c>
      <c r="L141" s="9">
        <v>1.0079</v>
      </c>
      <c r="M141" s="11">
        <v>1.4409799999999999</v>
      </c>
      <c r="N141" s="11">
        <v>95.284989999999993</v>
      </c>
      <c r="O141" s="11">
        <v>0.98951</v>
      </c>
      <c r="P141" s="11">
        <v>97.715469999999996</v>
      </c>
      <c r="Q141" s="7"/>
    </row>
    <row r="142" spans="1:17" ht="12.75" customHeight="1" x14ac:dyDescent="0.35">
      <c r="A142" s="6" t="s">
        <v>34</v>
      </c>
      <c r="B142" s="6" t="s">
        <v>35</v>
      </c>
      <c r="C142" s="7">
        <v>2013</v>
      </c>
      <c r="D142" s="8">
        <f t="shared" si="25"/>
        <v>14</v>
      </c>
      <c r="E142" s="9">
        <v>0.66913</v>
      </c>
      <c r="F142" s="9">
        <v>29.324100000000001</v>
      </c>
      <c r="G142" s="10">
        <v>0</v>
      </c>
      <c r="H142" s="9">
        <f t="shared" si="26"/>
        <v>0.66666666666666663</v>
      </c>
      <c r="I142" s="9">
        <v>1.5699999999999999E-2</v>
      </c>
      <c r="J142" s="9">
        <v>0.91986999999999997</v>
      </c>
      <c r="K142" s="9">
        <v>2.6200000000000001E-2</v>
      </c>
      <c r="L142" s="9">
        <v>0.3024</v>
      </c>
      <c r="M142" s="11">
        <v>0.42781999999999998</v>
      </c>
      <c r="N142" s="11">
        <v>24.484269999999999</v>
      </c>
      <c r="O142" s="11">
        <v>0.95916000000000001</v>
      </c>
      <c r="P142" s="11">
        <v>25.87125</v>
      </c>
      <c r="Q142" s="7"/>
    </row>
    <row r="143" spans="1:17" ht="12.75" customHeight="1" x14ac:dyDescent="0.35">
      <c r="A143" s="6" t="s">
        <v>34</v>
      </c>
      <c r="B143" s="6" t="s">
        <v>35</v>
      </c>
      <c r="C143" s="7">
        <v>2014</v>
      </c>
      <c r="D143" s="8">
        <f t="shared" si="25"/>
        <v>15</v>
      </c>
      <c r="E143" s="9">
        <v>0.77039999999999997</v>
      </c>
      <c r="F143" s="9">
        <v>29.333500000000001</v>
      </c>
      <c r="G143" s="10">
        <v>0</v>
      </c>
      <c r="H143" s="9">
        <f t="shared" si="26"/>
        <v>0.66666666666666663</v>
      </c>
      <c r="I143" s="9">
        <v>-2.3099999999999999E-2</v>
      </c>
      <c r="J143" s="9">
        <v>0.68813999999999997</v>
      </c>
      <c r="K143" s="9">
        <v>-4.1000000000000002E-2</v>
      </c>
      <c r="L143" s="9">
        <v>0.18099999999999999</v>
      </c>
      <c r="M143" s="11">
        <v>0.29188999999999998</v>
      </c>
      <c r="N143" s="11">
        <v>12.92104</v>
      </c>
      <c r="O143" s="11">
        <v>0.92261000000000004</v>
      </c>
      <c r="P143" s="11">
        <v>14.135540000000001</v>
      </c>
      <c r="Q143" s="7"/>
    </row>
    <row r="144" spans="1:17" ht="12.75" customHeight="1" x14ac:dyDescent="0.35">
      <c r="A144" s="6" t="s">
        <v>34</v>
      </c>
      <c r="B144" s="6" t="s">
        <v>35</v>
      </c>
      <c r="C144" s="7">
        <v>2015</v>
      </c>
      <c r="D144" s="8">
        <f t="shared" si="25"/>
        <v>16</v>
      </c>
      <c r="E144" s="9">
        <v>1.19533</v>
      </c>
      <c r="F144" s="9">
        <v>29.350100000000001</v>
      </c>
      <c r="G144" s="10">
        <v>0</v>
      </c>
      <c r="H144" s="9">
        <f t="shared" si="26"/>
        <v>0.66666666666666663</v>
      </c>
      <c r="I144" s="9">
        <v>-9.7799999999999998E-2</v>
      </c>
      <c r="J144" s="9">
        <v>0.62475000000000003</v>
      </c>
      <c r="K144" s="9">
        <v>-0.2147</v>
      </c>
      <c r="L144" s="9">
        <v>0.19939999999999999</v>
      </c>
      <c r="M144" s="11">
        <v>0.48280000000000001</v>
      </c>
      <c r="N144" s="11">
        <v>23.097280000000001</v>
      </c>
      <c r="O144" s="11">
        <v>0.95669999999999999</v>
      </c>
      <c r="P144" s="11">
        <v>24.53678</v>
      </c>
      <c r="Q144" s="7"/>
    </row>
    <row r="145" spans="1:17" ht="12.75" customHeight="1" x14ac:dyDescent="0.35">
      <c r="A145" s="6" t="s">
        <v>34</v>
      </c>
      <c r="B145" s="6" t="s">
        <v>35</v>
      </c>
      <c r="C145" s="7">
        <v>2016</v>
      </c>
      <c r="D145" s="8">
        <f t="shared" si="25"/>
        <v>17</v>
      </c>
      <c r="E145" s="9">
        <v>1.7074199999999999</v>
      </c>
      <c r="F145" s="9">
        <v>29.275500000000001</v>
      </c>
      <c r="G145" s="10">
        <v>0</v>
      </c>
      <c r="H145" s="9">
        <v>0.66666666666666663</v>
      </c>
      <c r="I145" s="9">
        <v>-0.1153</v>
      </c>
      <c r="J145" s="9">
        <v>0.71884999999999999</v>
      </c>
      <c r="K145" s="9">
        <v>-0.31219999999999998</v>
      </c>
      <c r="L145" s="9">
        <v>0.4289</v>
      </c>
      <c r="M145" s="11">
        <v>1.24472</v>
      </c>
      <c r="N145" s="11">
        <v>51.81803</v>
      </c>
      <c r="O145" s="11">
        <v>0.98070000000000002</v>
      </c>
      <c r="P145" s="11">
        <v>54.04345</v>
      </c>
      <c r="Q145" s="7"/>
    </row>
    <row r="146" spans="1:17" ht="12.75" customHeight="1" x14ac:dyDescent="0.35">
      <c r="A146" s="6" t="s">
        <v>34</v>
      </c>
      <c r="B146" s="6" t="s">
        <v>35</v>
      </c>
      <c r="C146" s="7">
        <v>2017</v>
      </c>
      <c r="D146" s="8">
        <f t="shared" si="25"/>
        <v>18</v>
      </c>
      <c r="E146" s="9">
        <v>7.82456</v>
      </c>
      <c r="F146" s="9">
        <v>28.9407</v>
      </c>
      <c r="G146" s="10">
        <v>0</v>
      </c>
      <c r="H146" s="9">
        <v>0.66666666666666663</v>
      </c>
      <c r="I146" s="9">
        <v>-0.4254</v>
      </c>
      <c r="J146" s="9">
        <v>1.0075499999999999</v>
      </c>
      <c r="K146" s="9">
        <v>-3.754</v>
      </c>
      <c r="L146" s="9">
        <v>0.4153</v>
      </c>
      <c r="M146" s="11">
        <v>6.71096</v>
      </c>
      <c r="N146" s="11">
        <v>56.487220000000001</v>
      </c>
      <c r="O146" s="11">
        <v>0.98229999999999995</v>
      </c>
      <c r="P146" s="11">
        <v>64.180480000000003</v>
      </c>
      <c r="Q146" s="7"/>
    </row>
    <row r="147" spans="1:17" ht="12.75" customHeight="1" x14ac:dyDescent="0.35">
      <c r="A147" s="6" t="s">
        <v>34</v>
      </c>
      <c r="B147" s="6" t="s">
        <v>35</v>
      </c>
      <c r="C147" s="7">
        <v>2018</v>
      </c>
      <c r="D147" s="8">
        <v>19</v>
      </c>
      <c r="E147" s="9">
        <v>-4.3049999999999997</v>
      </c>
      <c r="F147" s="9">
        <v>28.626000000000001</v>
      </c>
      <c r="G147" s="10">
        <v>0</v>
      </c>
      <c r="H147" s="9">
        <v>0.66669999999999996</v>
      </c>
      <c r="I147" s="9">
        <v>-0.311</v>
      </c>
      <c r="J147" s="9">
        <v>1.468</v>
      </c>
      <c r="K147" s="9">
        <v>1.028</v>
      </c>
      <c r="L147" s="9">
        <v>0.94499999999999995</v>
      </c>
      <c r="M147" s="11">
        <v>-2.7370399999999999</v>
      </c>
      <c r="N147" s="11">
        <v>41.342280000000002</v>
      </c>
      <c r="O147" s="11">
        <v>0.97580999999999996</v>
      </c>
      <c r="P147" s="11">
        <v>39.581049999999998</v>
      </c>
      <c r="Q147" s="7"/>
    </row>
    <row r="148" spans="1:17" ht="12.75" customHeight="1" x14ac:dyDescent="0.35">
      <c r="A148" s="6" t="s">
        <v>34</v>
      </c>
      <c r="B148" s="6" t="s">
        <v>35</v>
      </c>
      <c r="C148" s="7">
        <v>2019</v>
      </c>
      <c r="D148" s="8">
        <v>20</v>
      </c>
      <c r="E148" s="9">
        <v>-3.4049999999999998</v>
      </c>
      <c r="F148" s="9">
        <v>28.123000000000001</v>
      </c>
      <c r="G148" s="10">
        <v>0</v>
      </c>
      <c r="H148" s="9">
        <v>0.66669999999999996</v>
      </c>
      <c r="I148" s="9">
        <v>7.0999999999999994E-2</v>
      </c>
      <c r="J148" s="9">
        <v>1.69</v>
      </c>
      <c r="K148" s="9">
        <v>-0.17100000000000001</v>
      </c>
      <c r="L148" s="9">
        <v>0.747</v>
      </c>
      <c r="M148" s="11">
        <v>-0.93679999999999997</v>
      </c>
      <c r="N148" s="11">
        <v>13.991580000000001</v>
      </c>
      <c r="O148" s="11">
        <v>0.92852999999999997</v>
      </c>
      <c r="P148" s="11">
        <v>13.983309999999999</v>
      </c>
      <c r="Q148" s="7"/>
    </row>
    <row r="149" spans="1:17" ht="12.75" customHeight="1" x14ac:dyDescent="0.35">
      <c r="A149" s="6" t="s">
        <v>34</v>
      </c>
      <c r="B149" s="6" t="s">
        <v>35</v>
      </c>
      <c r="C149" s="7">
        <v>2020</v>
      </c>
      <c r="D149" s="8">
        <v>21</v>
      </c>
      <c r="E149" s="9">
        <v>-1.9650000000000001</v>
      </c>
      <c r="F149" s="9">
        <v>27.736000000000001</v>
      </c>
      <c r="G149" s="17">
        <v>0</v>
      </c>
      <c r="H149" s="9">
        <v>0.66669999999999996</v>
      </c>
      <c r="I149" s="9">
        <v>-0.24</v>
      </c>
      <c r="J149" s="9">
        <v>2.4390000000000001</v>
      </c>
      <c r="K149" s="9">
        <v>0.23200000000000001</v>
      </c>
      <c r="L149" s="9">
        <v>0.79700000000000004</v>
      </c>
      <c r="M149" s="11">
        <v>-0.60668</v>
      </c>
      <c r="N149" s="11">
        <v>20.051380000000002</v>
      </c>
      <c r="O149" s="11">
        <v>0.95013000000000003</v>
      </c>
      <c r="P149" s="11">
        <v>20.394829999999999</v>
      </c>
      <c r="Q149" s="7"/>
    </row>
    <row r="150" spans="1:17" ht="12.75" customHeight="1" x14ac:dyDescent="0.35">
      <c r="A150" s="6" t="s">
        <v>34</v>
      </c>
      <c r="B150" s="6" t="s">
        <v>35</v>
      </c>
      <c r="C150" s="7">
        <v>2021</v>
      </c>
      <c r="D150" s="8">
        <v>22</v>
      </c>
      <c r="E150" s="9">
        <v>-1.9850000000000001</v>
      </c>
      <c r="F150" s="9">
        <v>27.818999999999999</v>
      </c>
      <c r="G150" s="17">
        <v>0</v>
      </c>
      <c r="H150" s="9">
        <v>0.66669999999999996</v>
      </c>
      <c r="I150" s="9">
        <v>-6.2E-2</v>
      </c>
      <c r="J150" s="9">
        <v>2.3860000000000001</v>
      </c>
      <c r="K150" s="9">
        <v>6.0999999999999999E-2</v>
      </c>
      <c r="L150" s="9">
        <v>0.81200000000000006</v>
      </c>
      <c r="M150" s="11">
        <v>-0.59336999999999995</v>
      </c>
      <c r="N150" s="11">
        <v>28.92229</v>
      </c>
      <c r="O150" s="11">
        <v>0.96541999999999994</v>
      </c>
      <c r="P150" s="11">
        <v>29.294350000000001</v>
      </c>
      <c r="Q150" s="7"/>
    </row>
    <row r="151" spans="1:17" ht="12.75" customHeight="1" x14ac:dyDescent="0.35">
      <c r="A151" s="6" t="s">
        <v>34</v>
      </c>
      <c r="B151" s="6" t="s">
        <v>35</v>
      </c>
      <c r="C151" s="7">
        <v>2022</v>
      </c>
      <c r="D151" s="8">
        <v>23</v>
      </c>
      <c r="E151" s="9">
        <v>-1.7050000000000001</v>
      </c>
      <c r="F151" s="9">
        <v>27.532</v>
      </c>
      <c r="G151" s="17">
        <v>0</v>
      </c>
      <c r="H151" s="9">
        <v>0.66669999999999996</v>
      </c>
      <c r="I151" s="9">
        <v>-6.6000000000000003E-2</v>
      </c>
      <c r="J151" s="9">
        <v>2.9129999999999998</v>
      </c>
      <c r="K151" s="9">
        <v>4.5999999999999999E-2</v>
      </c>
      <c r="L151" s="9">
        <v>1.518</v>
      </c>
      <c r="M151" s="11">
        <v>-0.78590000000000004</v>
      </c>
      <c r="N151" s="11">
        <v>30.955680000000001</v>
      </c>
      <c r="O151" s="11">
        <v>0.9677</v>
      </c>
      <c r="P151" s="11">
        <v>31.13748</v>
      </c>
      <c r="Q151" s="7"/>
    </row>
    <row r="152" spans="1:17" ht="12.75" customHeight="1" x14ac:dyDescent="0.35">
      <c r="A152" s="6" t="s">
        <v>36</v>
      </c>
      <c r="B152" s="6" t="s">
        <v>37</v>
      </c>
      <c r="C152" s="7">
        <v>2012</v>
      </c>
      <c r="D152" s="8">
        <f t="shared" ref="D152:D157" si="27">D153-1</f>
        <v>21</v>
      </c>
      <c r="E152" s="9">
        <v>0.60643999999999998</v>
      </c>
      <c r="F152" s="9">
        <v>29.047499999999999</v>
      </c>
      <c r="G152" s="10">
        <v>0</v>
      </c>
      <c r="H152" s="9">
        <f t="shared" ref="H152:H155" si="28">H153</f>
        <v>0.66666666666666663</v>
      </c>
      <c r="I152" s="9">
        <v>-9.3399999999999997E-2</v>
      </c>
      <c r="J152" s="9">
        <v>0.63726000000000005</v>
      </c>
      <c r="K152" s="9">
        <v>-0.15</v>
      </c>
      <c r="L152" s="9">
        <v>0.76229999999999998</v>
      </c>
      <c r="M152" s="11">
        <v>1.5301499999999999</v>
      </c>
      <c r="N152" s="11">
        <v>10.99685</v>
      </c>
      <c r="O152" s="11">
        <v>0.90905999999999998</v>
      </c>
      <c r="P152" s="11">
        <v>13.436059999999999</v>
      </c>
      <c r="Q152" s="7"/>
    </row>
    <row r="153" spans="1:17" ht="12.75" customHeight="1" x14ac:dyDescent="0.35">
      <c r="A153" s="6" t="s">
        <v>36</v>
      </c>
      <c r="B153" s="6" t="s">
        <v>37</v>
      </c>
      <c r="C153" s="7">
        <v>2013</v>
      </c>
      <c r="D153" s="8">
        <f t="shared" si="27"/>
        <v>22</v>
      </c>
      <c r="E153" s="9">
        <v>0.64676</v>
      </c>
      <c r="F153" s="9">
        <v>28.972000000000001</v>
      </c>
      <c r="G153" s="10">
        <v>0</v>
      </c>
      <c r="H153" s="9">
        <f t="shared" si="28"/>
        <v>0.66666666666666663</v>
      </c>
      <c r="I153" s="9">
        <v>-0.14130000000000001</v>
      </c>
      <c r="J153" s="9">
        <v>0.63856999999999997</v>
      </c>
      <c r="K153" s="9">
        <v>-0.23269999999999999</v>
      </c>
      <c r="L153" s="9">
        <v>0.60699999999999998</v>
      </c>
      <c r="M153" s="11">
        <v>1.3267</v>
      </c>
      <c r="N153" s="11">
        <v>7.8353299999999999</v>
      </c>
      <c r="O153" s="11">
        <v>0.87236999999999998</v>
      </c>
      <c r="P153" s="11">
        <v>10.0344</v>
      </c>
      <c r="Q153" s="7"/>
    </row>
    <row r="154" spans="1:17" ht="12.75" customHeight="1" x14ac:dyDescent="0.35">
      <c r="A154" s="6" t="s">
        <v>36</v>
      </c>
      <c r="B154" s="6" t="s">
        <v>37</v>
      </c>
      <c r="C154" s="7">
        <v>2014</v>
      </c>
      <c r="D154" s="8">
        <f t="shared" si="27"/>
        <v>23</v>
      </c>
      <c r="E154" s="9">
        <v>0.59097999999999995</v>
      </c>
      <c r="F154" s="9">
        <v>29.072399999999998</v>
      </c>
      <c r="G154" s="10">
        <v>0</v>
      </c>
      <c r="H154" s="9">
        <f t="shared" si="28"/>
        <v>0.66666666666666663</v>
      </c>
      <c r="I154" s="9">
        <v>4.0000000000000002E-4</v>
      </c>
      <c r="J154" s="9">
        <v>0.61965000000000003</v>
      </c>
      <c r="K154" s="9">
        <v>5.9999999999999995E-4</v>
      </c>
      <c r="L154" s="9">
        <v>0.65949999999999998</v>
      </c>
      <c r="M154" s="11">
        <v>1.15622</v>
      </c>
      <c r="N154" s="11">
        <v>7.5055399999999999</v>
      </c>
      <c r="O154" s="11">
        <v>0.86677000000000004</v>
      </c>
      <c r="P154" s="11">
        <v>9.5285299999999999</v>
      </c>
      <c r="Q154" s="7"/>
    </row>
    <row r="155" spans="1:17" ht="12.75" customHeight="1" x14ac:dyDescent="0.35">
      <c r="A155" s="6" t="s">
        <v>36</v>
      </c>
      <c r="B155" s="6" t="s">
        <v>37</v>
      </c>
      <c r="C155" s="7">
        <v>2015</v>
      </c>
      <c r="D155" s="8">
        <f t="shared" si="27"/>
        <v>24</v>
      </c>
      <c r="E155" s="9">
        <v>0.65947</v>
      </c>
      <c r="F155" s="9">
        <v>29.2394</v>
      </c>
      <c r="G155" s="10">
        <v>0</v>
      </c>
      <c r="H155" s="9">
        <f t="shared" si="28"/>
        <v>0.66666666666666663</v>
      </c>
      <c r="I155" s="9">
        <v>1.2999999999999999E-3</v>
      </c>
      <c r="J155" s="9">
        <v>0.61177999999999999</v>
      </c>
      <c r="K155" s="9">
        <v>2.0999999999999999E-3</v>
      </c>
      <c r="L155" s="9">
        <v>0.64380000000000004</v>
      </c>
      <c r="M155" s="11">
        <v>1.1451800000000001</v>
      </c>
      <c r="N155" s="11">
        <v>9.3036700000000003</v>
      </c>
      <c r="O155" s="11">
        <v>0.89251999999999998</v>
      </c>
      <c r="P155" s="11">
        <v>11.34136</v>
      </c>
      <c r="Q155" s="7"/>
    </row>
    <row r="156" spans="1:17" ht="12.75" customHeight="1" x14ac:dyDescent="0.35">
      <c r="A156" s="6" t="s">
        <v>36</v>
      </c>
      <c r="B156" s="6" t="s">
        <v>37</v>
      </c>
      <c r="C156" s="7">
        <v>2016</v>
      </c>
      <c r="D156" s="8">
        <f t="shared" si="27"/>
        <v>25</v>
      </c>
      <c r="E156" s="9">
        <v>0.69386999999999999</v>
      </c>
      <c r="F156" s="9">
        <v>29.255299999999998</v>
      </c>
      <c r="G156" s="10">
        <v>0</v>
      </c>
      <c r="H156" s="9">
        <v>0.66666666666666663</v>
      </c>
      <c r="I156" s="9">
        <v>1.4E-3</v>
      </c>
      <c r="J156" s="9">
        <v>0.62495999999999996</v>
      </c>
      <c r="K156" s="9">
        <v>2.3E-3</v>
      </c>
      <c r="L156" s="9">
        <v>0.6794</v>
      </c>
      <c r="M156" s="11">
        <v>1.23952</v>
      </c>
      <c r="N156" s="11">
        <v>9.2591099999999997</v>
      </c>
      <c r="O156" s="11">
        <v>0.89200000000000002</v>
      </c>
      <c r="P156" s="11">
        <v>11.39062</v>
      </c>
      <c r="Q156" s="7"/>
    </row>
    <row r="157" spans="1:17" ht="12.75" customHeight="1" x14ac:dyDescent="0.35">
      <c r="A157" s="6" t="s">
        <v>36</v>
      </c>
      <c r="B157" s="6" t="s">
        <v>37</v>
      </c>
      <c r="C157" s="7">
        <v>2017</v>
      </c>
      <c r="D157" s="8">
        <f t="shared" si="27"/>
        <v>26</v>
      </c>
      <c r="E157" s="9">
        <v>0.76575000000000004</v>
      </c>
      <c r="F157" s="9">
        <v>29.325500000000002</v>
      </c>
      <c r="G157" s="10">
        <v>0</v>
      </c>
      <c r="H157" s="9">
        <v>0.66666666666666663</v>
      </c>
      <c r="I157" s="9">
        <v>6.8999999999999999E-3</v>
      </c>
      <c r="J157" s="9">
        <v>0.63439999999999996</v>
      </c>
      <c r="K157" s="9">
        <v>1.21E-2</v>
      </c>
      <c r="L157" s="9">
        <v>0.60429999999999995</v>
      </c>
      <c r="M157" s="11">
        <v>1.11636</v>
      </c>
      <c r="N157" s="11">
        <v>7.7156799999999999</v>
      </c>
      <c r="O157" s="11">
        <v>0.87039</v>
      </c>
      <c r="P157" s="11">
        <v>9.7024399999999993</v>
      </c>
      <c r="Q157" s="7"/>
    </row>
    <row r="158" spans="1:17" ht="12.75" customHeight="1" x14ac:dyDescent="0.35">
      <c r="A158" s="6" t="s">
        <v>36</v>
      </c>
      <c r="B158" s="6" t="s">
        <v>37</v>
      </c>
      <c r="C158" s="7">
        <v>2018</v>
      </c>
      <c r="D158" s="8">
        <v>27</v>
      </c>
      <c r="E158" s="9">
        <v>0.79800000000000004</v>
      </c>
      <c r="F158" s="9">
        <v>29.443000000000001</v>
      </c>
      <c r="G158" s="17">
        <v>0</v>
      </c>
      <c r="H158" s="9">
        <v>0.66669999999999996</v>
      </c>
      <c r="I158" s="9">
        <v>6.0000000000000001E-3</v>
      </c>
      <c r="J158" s="9">
        <v>0.626</v>
      </c>
      <c r="K158" s="9">
        <v>1.0999999999999999E-2</v>
      </c>
      <c r="L158" s="9">
        <v>0.66500000000000004</v>
      </c>
      <c r="M158" s="11">
        <v>1.29738</v>
      </c>
      <c r="N158" s="11">
        <v>8.7428000000000008</v>
      </c>
      <c r="O158" s="11">
        <v>0.88561999999999996</v>
      </c>
      <c r="P158" s="11">
        <v>10.92581</v>
      </c>
      <c r="Q158" s="7"/>
    </row>
    <row r="159" spans="1:17" ht="12.75" customHeight="1" x14ac:dyDescent="0.35">
      <c r="A159" s="6" t="s">
        <v>36</v>
      </c>
      <c r="B159" s="6" t="s">
        <v>37</v>
      </c>
      <c r="C159" s="7">
        <v>2019</v>
      </c>
      <c r="D159" s="8">
        <v>28</v>
      </c>
      <c r="E159" s="9">
        <v>1.3460000000000001</v>
      </c>
      <c r="F159" s="9">
        <v>29.664000000000001</v>
      </c>
      <c r="G159" s="17">
        <v>0</v>
      </c>
      <c r="H159" s="9">
        <v>1</v>
      </c>
      <c r="I159" s="9">
        <v>7.0000000000000001E-3</v>
      </c>
      <c r="J159" s="9">
        <v>0.71699999999999997</v>
      </c>
      <c r="K159" s="9">
        <v>1.6E-2</v>
      </c>
      <c r="L159" s="9">
        <v>0.627</v>
      </c>
      <c r="M159" s="11">
        <v>1.5556099999999999</v>
      </c>
      <c r="N159" s="11">
        <v>12.07616</v>
      </c>
      <c r="O159" s="11">
        <v>0.91718999999999995</v>
      </c>
      <c r="P159" s="11">
        <v>14.548970000000001</v>
      </c>
      <c r="Q159" s="7"/>
    </row>
    <row r="160" spans="1:17" ht="12.75" customHeight="1" x14ac:dyDescent="0.35">
      <c r="A160" s="6" t="s">
        <v>36</v>
      </c>
      <c r="B160" s="6" t="s">
        <v>37</v>
      </c>
      <c r="C160" s="7">
        <v>2020</v>
      </c>
      <c r="D160" s="8">
        <v>29</v>
      </c>
      <c r="E160" s="9">
        <v>1.044</v>
      </c>
      <c r="F160" s="9">
        <v>29.681000000000001</v>
      </c>
      <c r="G160" s="17">
        <v>0</v>
      </c>
      <c r="H160" s="9">
        <v>0.66669999999999996</v>
      </c>
      <c r="I160" s="9">
        <v>3.0000000000000001E-3</v>
      </c>
      <c r="J160" s="9">
        <v>0.65100000000000002</v>
      </c>
      <c r="K160" s="9">
        <v>6.0000000000000001E-3</v>
      </c>
      <c r="L160" s="9">
        <v>0.55100000000000005</v>
      </c>
      <c r="M160" s="11">
        <v>1.2363299999999999</v>
      </c>
      <c r="N160" s="11">
        <v>9.1711100000000005</v>
      </c>
      <c r="O160" s="11">
        <v>0.89095999999999997</v>
      </c>
      <c r="P160" s="11">
        <v>11.298400000000001</v>
      </c>
      <c r="Q160" s="7"/>
    </row>
    <row r="161" spans="1:17" ht="12.75" customHeight="1" x14ac:dyDescent="0.35">
      <c r="A161" s="6" t="s">
        <v>36</v>
      </c>
      <c r="B161" s="6" t="s">
        <v>37</v>
      </c>
      <c r="C161" s="7">
        <v>2021</v>
      </c>
      <c r="D161" s="8">
        <v>30</v>
      </c>
      <c r="E161" s="9">
        <v>1.08</v>
      </c>
      <c r="F161" s="9">
        <v>29.716000000000001</v>
      </c>
      <c r="G161" s="17">
        <v>0</v>
      </c>
      <c r="H161" s="9">
        <v>0.66669999999999996</v>
      </c>
      <c r="I161" s="9">
        <v>2E-3</v>
      </c>
      <c r="J161" s="9">
        <v>0.65500000000000003</v>
      </c>
      <c r="K161" s="9">
        <v>4.0000000000000001E-3</v>
      </c>
      <c r="L161" s="9">
        <v>0.57299999999999995</v>
      </c>
      <c r="M161" s="11">
        <v>1.25308</v>
      </c>
      <c r="N161" s="11">
        <v>6.7999599999999996</v>
      </c>
      <c r="O161" s="11">
        <v>0.85294000000000003</v>
      </c>
      <c r="P161" s="11">
        <v>8.9059799999999996</v>
      </c>
      <c r="Q161" s="7"/>
    </row>
    <row r="162" spans="1:17" ht="12.75" customHeight="1" x14ac:dyDescent="0.35">
      <c r="A162" s="6" t="s">
        <v>36</v>
      </c>
      <c r="B162" s="6" t="s">
        <v>37</v>
      </c>
      <c r="C162" s="7">
        <v>2022</v>
      </c>
      <c r="D162" s="8">
        <v>31</v>
      </c>
      <c r="E162" s="9">
        <v>1.1559999999999999</v>
      </c>
      <c r="F162" s="9">
        <v>29.785</v>
      </c>
      <c r="G162" s="17">
        <v>0</v>
      </c>
      <c r="H162" s="9">
        <v>0.66669999999999996</v>
      </c>
      <c r="I162" s="9">
        <v>-3.1E-2</v>
      </c>
      <c r="J162" s="9">
        <v>0.67100000000000004</v>
      </c>
      <c r="K162" s="9">
        <v>-6.6000000000000003E-2</v>
      </c>
      <c r="L162" s="9">
        <v>0.74199999999999999</v>
      </c>
      <c r="M162" s="11">
        <v>1.8517600000000001</v>
      </c>
      <c r="N162" s="11">
        <v>7.4660299999999999</v>
      </c>
      <c r="O162" s="11">
        <v>0.86606000000000005</v>
      </c>
      <c r="P162" s="11">
        <v>10.18385</v>
      </c>
      <c r="Q162" s="7"/>
    </row>
    <row r="163" spans="1:17" ht="12.75" customHeight="1" x14ac:dyDescent="0.35">
      <c r="A163" s="6" t="s">
        <v>38</v>
      </c>
      <c r="B163" s="6" t="s">
        <v>39</v>
      </c>
      <c r="C163" s="7">
        <v>2012</v>
      </c>
      <c r="D163" s="8">
        <f t="shared" ref="D163:D168" si="29">D164-1</f>
        <v>22</v>
      </c>
      <c r="E163" s="9">
        <v>11.957319999999999</v>
      </c>
      <c r="F163" s="9">
        <v>30.017900000000001</v>
      </c>
      <c r="G163" s="10">
        <v>0</v>
      </c>
      <c r="H163" s="9">
        <f t="shared" ref="H163:H166" si="30">H164</f>
        <v>0.66666666666666663</v>
      </c>
      <c r="I163" s="9">
        <v>-1.32E-2</v>
      </c>
      <c r="J163" s="9">
        <v>1.0347</v>
      </c>
      <c r="K163" s="9">
        <v>-0.1704</v>
      </c>
      <c r="L163" s="9">
        <v>0.72709999999999997</v>
      </c>
      <c r="M163" s="11">
        <v>8.5466499999999996</v>
      </c>
      <c r="N163" s="11">
        <v>29.948910000000001</v>
      </c>
      <c r="O163" s="11">
        <v>0.96660999999999997</v>
      </c>
      <c r="P163" s="11">
        <v>39.46217</v>
      </c>
      <c r="Q163" s="7"/>
    </row>
    <row r="164" spans="1:17" ht="12.75" customHeight="1" x14ac:dyDescent="0.35">
      <c r="A164" s="6" t="s">
        <v>38</v>
      </c>
      <c r="B164" s="6" t="s">
        <v>39</v>
      </c>
      <c r="C164" s="7">
        <v>2013</v>
      </c>
      <c r="D164" s="8">
        <f t="shared" si="29"/>
        <v>23</v>
      </c>
      <c r="E164" s="9">
        <v>14.8124</v>
      </c>
      <c r="F164" s="9">
        <v>30.0564</v>
      </c>
      <c r="G164" s="10">
        <v>0</v>
      </c>
      <c r="H164" s="9">
        <f t="shared" si="30"/>
        <v>0.66666666666666663</v>
      </c>
      <c r="I164" s="9">
        <v>-2.7199999999999998E-2</v>
      </c>
      <c r="J164" s="9">
        <v>0.99417</v>
      </c>
      <c r="K164" s="9">
        <v>-0.42930000000000001</v>
      </c>
      <c r="L164" s="9">
        <v>0.64239999999999997</v>
      </c>
      <c r="M164" s="11">
        <v>10.239599999999999</v>
      </c>
      <c r="N164" s="11">
        <v>6.0128199999999996</v>
      </c>
      <c r="O164" s="11">
        <v>0.83369000000000004</v>
      </c>
      <c r="P164" s="11">
        <v>17.086110000000001</v>
      </c>
      <c r="Q164" s="7"/>
    </row>
    <row r="165" spans="1:17" ht="12.75" customHeight="1" x14ac:dyDescent="0.35">
      <c r="A165" s="6" t="s">
        <v>38</v>
      </c>
      <c r="B165" s="6" t="s">
        <v>39</v>
      </c>
      <c r="C165" s="7">
        <v>2014</v>
      </c>
      <c r="D165" s="8">
        <f t="shared" si="29"/>
        <v>24</v>
      </c>
      <c r="E165" s="9">
        <v>9.6899099999999994</v>
      </c>
      <c r="F165" s="9">
        <v>30.008800000000001</v>
      </c>
      <c r="G165" s="10">
        <v>0</v>
      </c>
      <c r="H165" s="9">
        <f t="shared" si="30"/>
        <v>0.66666666666666663</v>
      </c>
      <c r="I165" s="9">
        <v>1.7999999999999999E-2</v>
      </c>
      <c r="J165" s="9">
        <v>1.0479400000000001</v>
      </c>
      <c r="K165" s="9">
        <v>0.19209999999999999</v>
      </c>
      <c r="L165" s="9">
        <v>0.66920000000000002</v>
      </c>
      <c r="M165" s="11">
        <v>6.81785</v>
      </c>
      <c r="N165" s="11">
        <v>6.2763799999999996</v>
      </c>
      <c r="O165" s="11">
        <v>0.84067000000000003</v>
      </c>
      <c r="P165" s="11">
        <v>13.934900000000001</v>
      </c>
      <c r="Q165" s="7"/>
    </row>
    <row r="166" spans="1:17" ht="12.75" customHeight="1" x14ac:dyDescent="0.35">
      <c r="A166" s="6" t="s">
        <v>38</v>
      </c>
      <c r="B166" s="6" t="s">
        <v>39</v>
      </c>
      <c r="C166" s="7">
        <v>2015</v>
      </c>
      <c r="D166" s="8">
        <f t="shared" si="29"/>
        <v>25</v>
      </c>
      <c r="E166" s="9">
        <v>8.7858400000000003</v>
      </c>
      <c r="F166" s="9">
        <v>30.041499999999999</v>
      </c>
      <c r="G166" s="10">
        <v>0</v>
      </c>
      <c r="H166" s="9">
        <f t="shared" si="30"/>
        <v>0.66666666666666663</v>
      </c>
      <c r="I166" s="9">
        <v>-0.01</v>
      </c>
      <c r="J166" s="9">
        <v>0.93645</v>
      </c>
      <c r="K166" s="9">
        <v>-9.7699999999999995E-2</v>
      </c>
      <c r="L166" s="9">
        <v>0.68</v>
      </c>
      <c r="M166" s="11">
        <v>6.15944</v>
      </c>
      <c r="N166" s="11">
        <v>6.2151500000000004</v>
      </c>
      <c r="O166" s="11">
        <v>0.83909999999999996</v>
      </c>
      <c r="P166" s="11">
        <v>13.21369</v>
      </c>
      <c r="Q166" s="7"/>
    </row>
    <row r="167" spans="1:17" ht="12.75" customHeight="1" x14ac:dyDescent="0.35">
      <c r="A167" s="6" t="s">
        <v>38</v>
      </c>
      <c r="B167" s="6" t="s">
        <v>39</v>
      </c>
      <c r="C167" s="7">
        <v>2016</v>
      </c>
      <c r="D167" s="8">
        <f t="shared" si="29"/>
        <v>26</v>
      </c>
      <c r="E167" s="9">
        <v>5.9762199999999996</v>
      </c>
      <c r="F167" s="9">
        <v>30.094100000000001</v>
      </c>
      <c r="G167" s="10">
        <v>0</v>
      </c>
      <c r="H167" s="9">
        <v>0.66666666666666663</v>
      </c>
      <c r="I167" s="9">
        <v>4.2000000000000003E-2</v>
      </c>
      <c r="J167" s="9">
        <v>1.2147399999999999</v>
      </c>
      <c r="K167" s="9">
        <v>0.29330000000000001</v>
      </c>
      <c r="L167" s="9">
        <v>0.69279999999999997</v>
      </c>
      <c r="M167" s="11">
        <v>4.38748</v>
      </c>
      <c r="N167" s="11">
        <v>5.1004699999999996</v>
      </c>
      <c r="O167" s="11">
        <v>0.80393999999999999</v>
      </c>
      <c r="P167" s="11">
        <v>10.29189</v>
      </c>
      <c r="Q167" s="7"/>
    </row>
    <row r="168" spans="1:17" ht="12.75" customHeight="1" x14ac:dyDescent="0.35">
      <c r="A168" s="6" t="s">
        <v>38</v>
      </c>
      <c r="B168" s="6" t="s">
        <v>39</v>
      </c>
      <c r="C168" s="7">
        <v>2017</v>
      </c>
      <c r="D168" s="8">
        <f t="shared" si="29"/>
        <v>27</v>
      </c>
      <c r="E168" s="9">
        <v>4.3372000000000002</v>
      </c>
      <c r="F168" s="9">
        <v>30.1813</v>
      </c>
      <c r="G168" s="10">
        <v>0</v>
      </c>
      <c r="H168" s="9">
        <f>H169</f>
        <v>0.66669999999999996</v>
      </c>
      <c r="I168" s="9">
        <v>4.9399999999999999E-2</v>
      </c>
      <c r="J168" s="9">
        <v>1.2900199999999999</v>
      </c>
      <c r="K168" s="9">
        <v>0.26390000000000002</v>
      </c>
      <c r="L168" s="9">
        <v>0.80859999999999999</v>
      </c>
      <c r="M168" s="11">
        <v>4.2133200000000004</v>
      </c>
      <c r="N168" s="11">
        <v>3.7034199999999999</v>
      </c>
      <c r="O168" s="11">
        <v>0.72997999999999996</v>
      </c>
      <c r="P168" s="11">
        <v>8.6467299999999998</v>
      </c>
      <c r="Q168" s="7"/>
    </row>
    <row r="169" spans="1:17" ht="12.75" customHeight="1" x14ac:dyDescent="0.35">
      <c r="A169" s="6" t="s">
        <v>38</v>
      </c>
      <c r="B169" s="6" t="s">
        <v>39</v>
      </c>
      <c r="C169" s="7">
        <v>2018</v>
      </c>
      <c r="D169" s="8">
        <v>28</v>
      </c>
      <c r="E169" s="9">
        <v>3.528</v>
      </c>
      <c r="F169" s="9">
        <v>30.491</v>
      </c>
      <c r="G169" s="17">
        <v>0</v>
      </c>
      <c r="H169" s="9">
        <v>0.66669999999999996</v>
      </c>
      <c r="I169" s="9">
        <v>6.4000000000000001E-2</v>
      </c>
      <c r="J169" s="9">
        <v>1.0429999999999999</v>
      </c>
      <c r="K169" s="9">
        <v>0.28899999999999998</v>
      </c>
      <c r="L169" s="9">
        <v>0.754</v>
      </c>
      <c r="M169" s="11">
        <v>3.1288299999999998</v>
      </c>
      <c r="N169" s="11">
        <v>5.6832599999999998</v>
      </c>
      <c r="O169" s="11">
        <v>0.82403999999999999</v>
      </c>
      <c r="P169" s="11">
        <v>9.6361299999999996</v>
      </c>
      <c r="Q169" s="7"/>
    </row>
    <row r="170" spans="1:17" ht="12.75" customHeight="1" x14ac:dyDescent="0.35">
      <c r="A170" s="6" t="s">
        <v>38</v>
      </c>
      <c r="B170" s="6" t="s">
        <v>39</v>
      </c>
      <c r="C170" s="7">
        <v>2019</v>
      </c>
      <c r="D170" s="8">
        <v>29</v>
      </c>
      <c r="E170" s="9">
        <v>3.2130000000000001</v>
      </c>
      <c r="F170" s="9">
        <v>30.43</v>
      </c>
      <c r="G170" s="17">
        <v>0</v>
      </c>
      <c r="H170" s="9">
        <v>0.66669999999999996</v>
      </c>
      <c r="I170" s="9">
        <v>1.7000000000000001E-2</v>
      </c>
      <c r="J170" s="9">
        <v>0.91</v>
      </c>
      <c r="K170" s="9">
        <v>7.2999999999999995E-2</v>
      </c>
      <c r="L170" s="9">
        <v>0.746</v>
      </c>
      <c r="M170" s="11">
        <v>3.2563200000000001</v>
      </c>
      <c r="N170" s="11">
        <v>5.28017</v>
      </c>
      <c r="O170" s="11">
        <v>0.81061000000000005</v>
      </c>
      <c r="P170" s="11">
        <v>9.3470999999999993</v>
      </c>
      <c r="Q170" s="7"/>
    </row>
    <row r="171" spans="1:17" ht="12.75" customHeight="1" x14ac:dyDescent="0.35">
      <c r="A171" s="6" t="s">
        <v>38</v>
      </c>
      <c r="B171" s="6" t="s">
        <v>39</v>
      </c>
      <c r="C171" s="7">
        <v>2020</v>
      </c>
      <c r="D171" s="8">
        <v>30</v>
      </c>
      <c r="E171" s="9">
        <v>2.6949999999999998</v>
      </c>
      <c r="F171" s="9">
        <v>30.251999999999999</v>
      </c>
      <c r="G171" s="17">
        <v>0</v>
      </c>
      <c r="H171" s="9">
        <v>0.66669999999999996</v>
      </c>
      <c r="I171" s="9">
        <v>-2.4E-2</v>
      </c>
      <c r="J171" s="9">
        <v>0.95</v>
      </c>
      <c r="K171" s="9">
        <v>-8.8999999999999996E-2</v>
      </c>
      <c r="L171" s="9">
        <v>0.61699999999999999</v>
      </c>
      <c r="M171" s="11">
        <v>2.5387599999999999</v>
      </c>
      <c r="N171" s="11">
        <v>4.7520300000000004</v>
      </c>
      <c r="O171" s="11">
        <v>0.78956000000000004</v>
      </c>
      <c r="P171" s="11">
        <v>8.0803600000000007</v>
      </c>
      <c r="Q171" s="7"/>
    </row>
    <row r="172" spans="1:17" ht="12.75" customHeight="1" x14ac:dyDescent="0.35">
      <c r="A172" s="6" t="s">
        <v>38</v>
      </c>
      <c r="B172" s="6" t="s">
        <v>39</v>
      </c>
      <c r="C172" s="7">
        <v>2021</v>
      </c>
      <c r="D172" s="8">
        <v>31</v>
      </c>
      <c r="E172" s="9">
        <v>5.1580000000000004</v>
      </c>
      <c r="F172" s="9">
        <v>30.780999999999999</v>
      </c>
      <c r="G172" s="17">
        <v>0</v>
      </c>
      <c r="H172" s="9">
        <v>0.66669999999999996</v>
      </c>
      <c r="I172" s="9">
        <v>0</v>
      </c>
      <c r="J172" s="9">
        <v>0.93500000000000005</v>
      </c>
      <c r="K172" s="9">
        <v>1E-3</v>
      </c>
      <c r="L172" s="9">
        <v>0.55700000000000005</v>
      </c>
      <c r="M172" s="11">
        <v>3.5410300000000001</v>
      </c>
      <c r="N172" s="11">
        <v>5.8829099999999999</v>
      </c>
      <c r="O172" s="11">
        <v>0.83001999999999998</v>
      </c>
      <c r="P172" s="11">
        <v>10.25395</v>
      </c>
      <c r="Q172" s="7"/>
    </row>
    <row r="173" spans="1:17" ht="12.75" customHeight="1" x14ac:dyDescent="0.35">
      <c r="A173" s="6" t="s">
        <v>38</v>
      </c>
      <c r="B173" s="6" t="s">
        <v>39</v>
      </c>
      <c r="C173" s="7">
        <v>2022</v>
      </c>
      <c r="D173" s="8">
        <v>32</v>
      </c>
      <c r="E173" s="9">
        <v>5.1319999999999997</v>
      </c>
      <c r="F173" s="9">
        <v>30.838000000000001</v>
      </c>
      <c r="G173" s="17">
        <v>0</v>
      </c>
      <c r="H173" s="9">
        <v>0.66669999999999996</v>
      </c>
      <c r="I173" s="9">
        <v>1.7999999999999999E-2</v>
      </c>
      <c r="J173" s="9">
        <v>0.94299999999999995</v>
      </c>
      <c r="K173" s="9">
        <v>0.112</v>
      </c>
      <c r="L173" s="9">
        <v>0.98899999999999999</v>
      </c>
      <c r="M173" s="11">
        <v>6.5319000000000003</v>
      </c>
      <c r="N173" s="11">
        <v>5.2226400000000002</v>
      </c>
      <c r="O173" s="11">
        <v>0.80852999999999997</v>
      </c>
      <c r="P173" s="11">
        <v>12.56307</v>
      </c>
      <c r="Q173" s="7"/>
    </row>
    <row r="174" spans="1:17" ht="12.75" customHeight="1" x14ac:dyDescent="0.35">
      <c r="A174" s="6" t="s">
        <v>40</v>
      </c>
      <c r="B174" s="6" t="s">
        <v>41</v>
      </c>
      <c r="C174" s="7">
        <v>2012</v>
      </c>
      <c r="D174" s="8">
        <f t="shared" ref="D174:D179" si="31">D175-1</f>
        <v>16</v>
      </c>
      <c r="E174" s="9">
        <v>0.32917000000000002</v>
      </c>
      <c r="F174" s="9">
        <v>30.0654</v>
      </c>
      <c r="G174" s="10">
        <v>0</v>
      </c>
      <c r="H174" s="9">
        <f t="shared" ref="H174:H177" si="32">H175</f>
        <v>0.66666666666666663</v>
      </c>
      <c r="I174" s="9">
        <v>1.32E-2</v>
      </c>
      <c r="J174" s="9">
        <v>1.1419699999999999</v>
      </c>
      <c r="K174" s="9">
        <v>1.7600000000000001E-2</v>
      </c>
      <c r="L174" s="9">
        <v>0.51739999999999997</v>
      </c>
      <c r="M174" s="11">
        <v>0.69750999999999996</v>
      </c>
      <c r="N174" s="11">
        <v>30.106750000000002</v>
      </c>
      <c r="O174" s="11">
        <v>0.96677999999999997</v>
      </c>
      <c r="P174" s="11">
        <v>31.771049999999999</v>
      </c>
      <c r="Q174" s="7"/>
    </row>
    <row r="175" spans="1:17" ht="12.75" customHeight="1" x14ac:dyDescent="0.35">
      <c r="A175" s="6" t="s">
        <v>40</v>
      </c>
      <c r="B175" s="6" t="s">
        <v>41</v>
      </c>
      <c r="C175" s="7">
        <v>2013</v>
      </c>
      <c r="D175" s="8">
        <f t="shared" si="31"/>
        <v>17</v>
      </c>
      <c r="E175" s="9">
        <v>0.38904</v>
      </c>
      <c r="F175" s="9">
        <v>30.158899999999999</v>
      </c>
      <c r="G175" s="10">
        <v>0</v>
      </c>
      <c r="H175" s="9">
        <f t="shared" si="32"/>
        <v>0.66666666666666663</v>
      </c>
      <c r="I175" s="9">
        <v>-0.01</v>
      </c>
      <c r="J175" s="9">
        <v>0.99104000000000003</v>
      </c>
      <c r="K175" s="9">
        <v>-1.38E-2</v>
      </c>
      <c r="L175" s="9">
        <v>0.50629999999999997</v>
      </c>
      <c r="M175" s="11">
        <v>0.73153000000000001</v>
      </c>
      <c r="N175" s="11">
        <v>22.742709999999999</v>
      </c>
      <c r="O175" s="11">
        <v>0.95603000000000005</v>
      </c>
      <c r="P175" s="11">
        <v>24.43028</v>
      </c>
      <c r="Q175" s="7"/>
    </row>
    <row r="176" spans="1:17" ht="12.75" customHeight="1" x14ac:dyDescent="0.35">
      <c r="A176" s="6" t="s">
        <v>40</v>
      </c>
      <c r="B176" s="6" t="s">
        <v>41</v>
      </c>
      <c r="C176" s="7">
        <v>2014</v>
      </c>
      <c r="D176" s="8">
        <f t="shared" si="31"/>
        <v>18</v>
      </c>
      <c r="E176" s="9">
        <v>0.55428999999999995</v>
      </c>
      <c r="F176" s="9">
        <v>30.370200000000001</v>
      </c>
      <c r="G176" s="10">
        <v>0</v>
      </c>
      <c r="H176" s="9">
        <f t="shared" si="32"/>
        <v>0.66666666666666663</v>
      </c>
      <c r="I176" s="9">
        <v>4.5999999999999999E-3</v>
      </c>
      <c r="J176" s="9">
        <v>0.97080999999999995</v>
      </c>
      <c r="K176" s="9">
        <v>7.1999999999999998E-3</v>
      </c>
      <c r="L176" s="9">
        <v>0.46029999999999999</v>
      </c>
      <c r="M176" s="11">
        <v>0.73914000000000002</v>
      </c>
      <c r="N176" s="11">
        <v>21.592960000000001</v>
      </c>
      <c r="O176" s="11">
        <v>0.95369000000000004</v>
      </c>
      <c r="P176" s="11">
        <v>23.285789999999999</v>
      </c>
      <c r="Q176" s="7"/>
    </row>
    <row r="177" spans="1:17" ht="12.75" customHeight="1" x14ac:dyDescent="0.35">
      <c r="A177" s="6" t="s">
        <v>40</v>
      </c>
      <c r="B177" s="6" t="s">
        <v>41</v>
      </c>
      <c r="C177" s="7">
        <v>2015</v>
      </c>
      <c r="D177" s="8">
        <f t="shared" si="31"/>
        <v>19</v>
      </c>
      <c r="E177" s="9">
        <v>0.78727999999999998</v>
      </c>
      <c r="F177" s="9">
        <v>30.917899999999999</v>
      </c>
      <c r="G177" s="10">
        <v>0</v>
      </c>
      <c r="H177" s="9">
        <f t="shared" si="32"/>
        <v>0.66666666666666663</v>
      </c>
      <c r="I177" s="9">
        <v>6.0499999999999998E-2</v>
      </c>
      <c r="J177" s="9">
        <v>0.77871999999999997</v>
      </c>
      <c r="K177" s="9">
        <v>0.1082</v>
      </c>
      <c r="L177" s="9">
        <v>0.3805</v>
      </c>
      <c r="M177" s="11">
        <v>0.53456000000000004</v>
      </c>
      <c r="N177" s="11">
        <v>17.862839999999998</v>
      </c>
      <c r="O177" s="11">
        <v>0.94401999999999997</v>
      </c>
      <c r="P177" s="11">
        <v>19.341419999999999</v>
      </c>
      <c r="Q177" s="7"/>
    </row>
    <row r="178" spans="1:17" ht="12.75" customHeight="1" x14ac:dyDescent="0.35">
      <c r="A178" s="6" t="s">
        <v>40</v>
      </c>
      <c r="B178" s="6" t="s">
        <v>41</v>
      </c>
      <c r="C178" s="7">
        <v>2016</v>
      </c>
      <c r="D178" s="8">
        <f t="shared" si="31"/>
        <v>20</v>
      </c>
      <c r="E178" s="9">
        <v>0.73962000000000006</v>
      </c>
      <c r="F178" s="9">
        <v>31.022500000000001</v>
      </c>
      <c r="G178" s="10">
        <v>0</v>
      </c>
      <c r="H178" s="9">
        <v>0.66666666666666663</v>
      </c>
      <c r="I178" s="9">
        <v>2.4899999999999999E-2</v>
      </c>
      <c r="J178" s="9">
        <v>0.56774000000000002</v>
      </c>
      <c r="K178" s="9">
        <v>4.3299999999999998E-2</v>
      </c>
      <c r="L178" s="9">
        <v>0.31890000000000002</v>
      </c>
      <c r="M178" s="11">
        <v>0.44573000000000002</v>
      </c>
      <c r="N178" s="11">
        <v>14.579750000000001</v>
      </c>
      <c r="O178" s="11">
        <v>0.93140999999999996</v>
      </c>
      <c r="P178" s="11">
        <v>15.956899999999999</v>
      </c>
      <c r="Q178" s="7"/>
    </row>
    <row r="179" spans="1:17" ht="12.75" customHeight="1" x14ac:dyDescent="0.35">
      <c r="A179" s="6" t="s">
        <v>40</v>
      </c>
      <c r="B179" s="6" t="s">
        <v>41</v>
      </c>
      <c r="C179" s="7">
        <v>2017</v>
      </c>
      <c r="D179" s="8">
        <f t="shared" si="31"/>
        <v>21</v>
      </c>
      <c r="E179" s="9">
        <v>0.88285999999999998</v>
      </c>
      <c r="F179" s="9">
        <v>31.244199999999999</v>
      </c>
      <c r="G179" s="10">
        <v>0</v>
      </c>
      <c r="H179" s="9">
        <f>H180</f>
        <v>0.33329999999999999</v>
      </c>
      <c r="I179" s="9">
        <v>3.1E-2</v>
      </c>
      <c r="J179" s="9">
        <v>0.75770999999999999</v>
      </c>
      <c r="K179" s="9">
        <v>5.8299999999999998E-2</v>
      </c>
      <c r="L179" s="9">
        <v>0.4829</v>
      </c>
      <c r="M179" s="11">
        <v>0.71389999999999998</v>
      </c>
      <c r="N179" s="11">
        <v>20.872890000000002</v>
      </c>
      <c r="O179" s="11">
        <v>0.95208999999999999</v>
      </c>
      <c r="P179" s="11">
        <v>22.538879999999999</v>
      </c>
      <c r="Q179" s="7"/>
    </row>
    <row r="180" spans="1:17" ht="12.75" customHeight="1" x14ac:dyDescent="0.35">
      <c r="A180" s="6" t="s">
        <v>40</v>
      </c>
      <c r="B180" s="6" t="s">
        <v>41</v>
      </c>
      <c r="C180" s="7">
        <v>2018</v>
      </c>
      <c r="D180" s="8">
        <v>22</v>
      </c>
      <c r="E180" s="9">
        <v>1.238</v>
      </c>
      <c r="F180" s="9">
        <v>31.542000000000002</v>
      </c>
      <c r="G180" s="17">
        <v>0</v>
      </c>
      <c r="H180" s="9">
        <v>0.33329999999999999</v>
      </c>
      <c r="I180" s="9">
        <v>2.5999999999999999E-2</v>
      </c>
      <c r="J180" s="9">
        <v>0.76500000000000001</v>
      </c>
      <c r="K180" s="9">
        <v>5.8999999999999997E-2</v>
      </c>
      <c r="L180" s="9">
        <v>0.52200000000000002</v>
      </c>
      <c r="M180" s="11">
        <v>0.93737999999999999</v>
      </c>
      <c r="N180" s="11">
        <v>25.366150000000001</v>
      </c>
      <c r="O180" s="11">
        <v>0.96057999999999999</v>
      </c>
      <c r="P180" s="11">
        <v>27.264109999999999</v>
      </c>
      <c r="Q180" s="7"/>
    </row>
    <row r="181" spans="1:17" ht="12.75" customHeight="1" x14ac:dyDescent="0.35">
      <c r="A181" s="6" t="s">
        <v>40</v>
      </c>
      <c r="B181" s="6" t="s">
        <v>41</v>
      </c>
      <c r="C181" s="7">
        <v>2019</v>
      </c>
      <c r="D181" s="8">
        <v>23</v>
      </c>
      <c r="E181" s="9">
        <v>1.27</v>
      </c>
      <c r="F181" s="9">
        <v>31.576000000000001</v>
      </c>
      <c r="G181" s="17">
        <v>0</v>
      </c>
      <c r="H181" s="9">
        <v>0.66669999999999996</v>
      </c>
      <c r="I181" s="9">
        <v>1.9E-2</v>
      </c>
      <c r="J181" s="9">
        <v>0.76600000000000001</v>
      </c>
      <c r="K181" s="9">
        <v>4.3999999999999997E-2</v>
      </c>
      <c r="L181" s="9">
        <v>0.56599999999999995</v>
      </c>
      <c r="M181" s="11">
        <v>0.87129999999999996</v>
      </c>
      <c r="N181" s="11">
        <v>21.890830000000001</v>
      </c>
      <c r="O181" s="11">
        <v>0.95431999999999995</v>
      </c>
      <c r="P181" s="11">
        <v>23.716449999999998</v>
      </c>
      <c r="Q181" s="7"/>
    </row>
    <row r="182" spans="1:17" ht="12.75" customHeight="1" x14ac:dyDescent="0.35">
      <c r="A182" s="6" t="s">
        <v>40</v>
      </c>
      <c r="B182" s="6" t="s">
        <v>41</v>
      </c>
      <c r="C182" s="7">
        <v>2020</v>
      </c>
      <c r="D182" s="8">
        <v>24</v>
      </c>
      <c r="E182" s="9">
        <v>0.82499999999999996</v>
      </c>
      <c r="F182" s="9">
        <v>31.341999999999999</v>
      </c>
      <c r="G182" s="17">
        <v>0</v>
      </c>
      <c r="H182" s="9">
        <v>0.66669999999999996</v>
      </c>
      <c r="I182" s="9">
        <v>-0.02</v>
      </c>
      <c r="J182" s="9">
        <v>0.754</v>
      </c>
      <c r="K182" s="9">
        <v>-3.5999999999999997E-2</v>
      </c>
      <c r="L182" s="9">
        <v>0.52</v>
      </c>
      <c r="M182" s="11">
        <v>0.88473000000000002</v>
      </c>
      <c r="N182" s="11">
        <v>21.984480000000001</v>
      </c>
      <c r="O182" s="11">
        <v>0.95450999999999997</v>
      </c>
      <c r="P182" s="11">
        <v>23.823720000000002</v>
      </c>
      <c r="Q182" s="7"/>
    </row>
    <row r="183" spans="1:17" ht="12.75" customHeight="1" x14ac:dyDescent="0.35">
      <c r="A183" s="6" t="s">
        <v>40</v>
      </c>
      <c r="B183" s="6" t="s">
        <v>41</v>
      </c>
      <c r="C183" s="7">
        <v>2021</v>
      </c>
      <c r="D183" s="8">
        <v>25</v>
      </c>
      <c r="E183" s="9">
        <v>0.72</v>
      </c>
      <c r="F183" s="9">
        <v>31.390999999999998</v>
      </c>
      <c r="G183" s="17">
        <v>0</v>
      </c>
      <c r="H183" s="9">
        <v>0.66669999999999996</v>
      </c>
      <c r="I183" s="9">
        <v>8.7999999999999995E-2</v>
      </c>
      <c r="J183" s="9">
        <v>1.298</v>
      </c>
      <c r="K183" s="9">
        <v>0.152</v>
      </c>
      <c r="L183" s="9">
        <v>0.71899999999999997</v>
      </c>
      <c r="M183" s="11">
        <v>0.98707999999999996</v>
      </c>
      <c r="N183" s="11">
        <v>19.229299999999999</v>
      </c>
      <c r="O183" s="11">
        <v>0.94799999999999995</v>
      </c>
      <c r="P183" s="11">
        <v>21.164370000000002</v>
      </c>
      <c r="Q183" s="7"/>
    </row>
    <row r="184" spans="1:17" ht="12.75" customHeight="1" x14ac:dyDescent="0.35">
      <c r="A184" s="6" t="s">
        <v>40</v>
      </c>
      <c r="B184" s="6" t="s">
        <v>41</v>
      </c>
      <c r="C184" s="7">
        <v>2022</v>
      </c>
      <c r="D184" s="8">
        <v>26</v>
      </c>
      <c r="E184" s="9">
        <v>1.149</v>
      </c>
      <c r="F184" s="9">
        <v>32.247999999999998</v>
      </c>
      <c r="G184" s="17">
        <v>0</v>
      </c>
      <c r="H184" s="9">
        <v>0.5</v>
      </c>
      <c r="I184" s="9">
        <v>0.20300000000000001</v>
      </c>
      <c r="J184" s="9">
        <v>0.83799999999999997</v>
      </c>
      <c r="K184" s="9">
        <v>0.436</v>
      </c>
      <c r="L184" s="9">
        <v>0.92600000000000005</v>
      </c>
      <c r="M184" s="11">
        <v>1.37846</v>
      </c>
      <c r="N184" s="11">
        <v>23.725449999999999</v>
      </c>
      <c r="O184" s="11">
        <v>0.95784999999999998</v>
      </c>
      <c r="P184" s="11">
        <v>26.06176</v>
      </c>
      <c r="Q184" s="7"/>
    </row>
    <row r="185" spans="1:17" ht="12.75" customHeight="1" x14ac:dyDescent="0.35">
      <c r="A185" s="6" t="s">
        <v>42</v>
      </c>
      <c r="B185" s="6" t="s">
        <v>43</v>
      </c>
      <c r="C185" s="7">
        <v>2017</v>
      </c>
      <c r="D185" s="8">
        <f>D186-1</f>
        <v>31</v>
      </c>
      <c r="E185" s="9">
        <v>-134.31169</v>
      </c>
      <c r="F185" s="9">
        <v>27.720300000000002</v>
      </c>
      <c r="G185" s="10">
        <v>0</v>
      </c>
      <c r="H185" s="9">
        <v>0.66666666666666663</v>
      </c>
      <c r="I185" s="9">
        <v>-0.77829999999999999</v>
      </c>
      <c r="J185" s="9">
        <v>5.7871100000000002</v>
      </c>
      <c r="K185" s="9">
        <v>103.75060000000001</v>
      </c>
      <c r="L185" s="9">
        <v>0.61539999999999995</v>
      </c>
      <c r="M185" s="11">
        <v>-130.4659</v>
      </c>
      <c r="N185" s="11">
        <v>71.772980000000004</v>
      </c>
      <c r="O185" s="11">
        <v>0.98607</v>
      </c>
      <c r="P185" s="11">
        <v>-57.706850000000003</v>
      </c>
      <c r="Q185" s="7"/>
    </row>
    <row r="186" spans="1:17" ht="12.75" customHeight="1" x14ac:dyDescent="0.35">
      <c r="A186" s="6" t="s">
        <v>42</v>
      </c>
      <c r="B186" s="6" t="s">
        <v>43</v>
      </c>
      <c r="C186" s="7">
        <v>2018</v>
      </c>
      <c r="D186" s="8">
        <v>32</v>
      </c>
      <c r="E186" s="9">
        <v>-43.085999999999999</v>
      </c>
      <c r="F186" s="9">
        <v>28.103000000000002</v>
      </c>
      <c r="G186" s="17">
        <v>0</v>
      </c>
      <c r="H186" s="9">
        <v>0.66669999999999996</v>
      </c>
      <c r="I186" s="9">
        <v>-1.9E-2</v>
      </c>
      <c r="J186" s="9">
        <v>1.4119999999999999</v>
      </c>
      <c r="K186" s="9">
        <v>0.81100000000000005</v>
      </c>
      <c r="L186" s="9">
        <v>0.89800000000000002</v>
      </c>
      <c r="M186" s="11">
        <v>-43.974769999999999</v>
      </c>
      <c r="N186" s="11">
        <v>109.58934000000001</v>
      </c>
      <c r="O186" s="11">
        <v>0.99087999999999998</v>
      </c>
      <c r="P186" s="11">
        <v>66.605450000000005</v>
      </c>
      <c r="Q186" s="7"/>
    </row>
    <row r="187" spans="1:17" ht="12.75" customHeight="1" x14ac:dyDescent="0.35">
      <c r="A187" s="6" t="s">
        <v>42</v>
      </c>
      <c r="B187" s="6" t="s">
        <v>43</v>
      </c>
      <c r="C187" s="7">
        <v>2019</v>
      </c>
      <c r="D187" s="8">
        <v>33</v>
      </c>
      <c r="E187" s="9">
        <v>-19.562000000000001</v>
      </c>
      <c r="F187" s="9">
        <v>27.484999999999999</v>
      </c>
      <c r="G187" s="17">
        <v>0</v>
      </c>
      <c r="H187" s="9">
        <v>0.66669999999999996</v>
      </c>
      <c r="I187" s="9">
        <v>-2.5000000000000001E-2</v>
      </c>
      <c r="J187" s="9">
        <v>5.21</v>
      </c>
      <c r="K187" s="9">
        <v>0.46600000000000003</v>
      </c>
      <c r="L187" s="9">
        <v>1.996</v>
      </c>
      <c r="M187" s="11">
        <v>-35.128779999999999</v>
      </c>
      <c r="N187" s="11">
        <v>92.549790000000002</v>
      </c>
      <c r="O187" s="11">
        <v>0.98919999999999997</v>
      </c>
      <c r="P187" s="11">
        <v>58.410209999999999</v>
      </c>
      <c r="Q187" s="7"/>
    </row>
    <row r="188" spans="1:17" ht="12.75" customHeight="1" x14ac:dyDescent="0.35">
      <c r="A188" s="6" t="s">
        <v>42</v>
      </c>
      <c r="B188" s="6" t="s">
        <v>43</v>
      </c>
      <c r="C188" s="7">
        <v>2020</v>
      </c>
      <c r="D188" s="8">
        <v>34</v>
      </c>
      <c r="E188" s="9">
        <v>-14.391999999999999</v>
      </c>
      <c r="F188" s="9">
        <v>27.28</v>
      </c>
      <c r="G188" s="17">
        <v>0</v>
      </c>
      <c r="H188" s="9">
        <v>0.66669999999999996</v>
      </c>
      <c r="I188" s="9">
        <v>5.0999999999999997E-2</v>
      </c>
      <c r="J188" s="9">
        <v>3.2309999999999999</v>
      </c>
      <c r="K188" s="9">
        <v>-0.67700000000000005</v>
      </c>
      <c r="L188" s="9">
        <v>2.2290000000000001</v>
      </c>
      <c r="M188" s="11">
        <v>-26.63504</v>
      </c>
      <c r="N188" s="11">
        <v>64.058729999999997</v>
      </c>
      <c r="O188" s="11">
        <v>0.98438999999999999</v>
      </c>
      <c r="P188" s="11">
        <v>38.408070000000002</v>
      </c>
      <c r="Q188" s="7"/>
    </row>
    <row r="189" spans="1:17" ht="12.75" customHeight="1" x14ac:dyDescent="0.35">
      <c r="A189" s="6" t="s">
        <v>42</v>
      </c>
      <c r="B189" s="6" t="s">
        <v>43</v>
      </c>
      <c r="C189" s="7">
        <v>2021</v>
      </c>
      <c r="D189" s="8">
        <v>35</v>
      </c>
      <c r="E189" s="9">
        <v>8.1319999999999997</v>
      </c>
      <c r="F189" s="9">
        <v>27.850999999999999</v>
      </c>
      <c r="G189" s="17">
        <v>0</v>
      </c>
      <c r="H189" s="9">
        <v>0.66669999999999996</v>
      </c>
      <c r="I189" s="9">
        <v>7.5999999999999998E-2</v>
      </c>
      <c r="J189" s="9">
        <v>2.294</v>
      </c>
      <c r="K189" s="9">
        <v>0.69099999999999995</v>
      </c>
      <c r="L189" s="9">
        <v>1.8440000000000001</v>
      </c>
      <c r="M189" s="11">
        <v>15.831799999999999</v>
      </c>
      <c r="N189" s="11">
        <v>76.029910000000001</v>
      </c>
      <c r="O189" s="11">
        <v>0.98685</v>
      </c>
      <c r="P189" s="11">
        <v>92.848550000000003</v>
      </c>
      <c r="Q189" s="7"/>
    </row>
    <row r="190" spans="1:17" ht="12.75" customHeight="1" x14ac:dyDescent="0.35">
      <c r="A190" s="6" t="s">
        <v>42</v>
      </c>
      <c r="B190" s="6" t="s">
        <v>43</v>
      </c>
      <c r="C190" s="7">
        <v>2022</v>
      </c>
      <c r="D190" s="8">
        <v>36</v>
      </c>
      <c r="E190" s="9">
        <v>9.0299999999999994</v>
      </c>
      <c r="F190" s="9">
        <v>27.983000000000001</v>
      </c>
      <c r="G190" s="17">
        <v>0</v>
      </c>
      <c r="H190" s="9">
        <v>0.66669999999999996</v>
      </c>
      <c r="I190" s="9">
        <v>2E-3</v>
      </c>
      <c r="J190" s="9">
        <v>2.02</v>
      </c>
      <c r="K190" s="9">
        <v>2.4E-2</v>
      </c>
      <c r="L190" s="9">
        <v>1.9590000000000001</v>
      </c>
      <c r="M190" s="11">
        <v>18.96885</v>
      </c>
      <c r="N190" s="11">
        <v>80.382689999999997</v>
      </c>
      <c r="O190" s="11">
        <v>0.98755999999999999</v>
      </c>
      <c r="P190" s="11">
        <v>100.33909</v>
      </c>
      <c r="Q190" s="7"/>
    </row>
    <row r="191" spans="1:17" ht="12.75" customHeight="1" x14ac:dyDescent="0.35">
      <c r="A191" s="6" t="s">
        <v>44</v>
      </c>
      <c r="B191" s="6" t="s">
        <v>45</v>
      </c>
      <c r="C191" s="7">
        <v>2012</v>
      </c>
      <c r="D191" s="8">
        <f t="shared" ref="D191:D196" si="33">D192-1</f>
        <v>43</v>
      </c>
      <c r="E191" s="9">
        <v>1.1287</v>
      </c>
      <c r="F191" s="9">
        <v>29.0884</v>
      </c>
      <c r="G191" s="10">
        <v>1</v>
      </c>
      <c r="H191" s="9">
        <f t="shared" ref="H191:H194" si="34">H192</f>
        <v>1</v>
      </c>
      <c r="I191" s="9">
        <v>2.98E-2</v>
      </c>
      <c r="J191" s="9">
        <v>0.82423999999999997</v>
      </c>
      <c r="K191" s="9">
        <v>6.3399999999999998E-2</v>
      </c>
      <c r="L191" s="9">
        <v>1.1124000000000001</v>
      </c>
      <c r="M191" s="11">
        <v>2.4627599999999998</v>
      </c>
      <c r="N191" s="11">
        <v>8.9583200000000005</v>
      </c>
      <c r="O191" s="11">
        <v>0.88836999999999999</v>
      </c>
      <c r="P191" s="11">
        <v>12.30946</v>
      </c>
      <c r="Q191" s="7"/>
    </row>
    <row r="192" spans="1:17" ht="12.75" customHeight="1" x14ac:dyDescent="0.35">
      <c r="A192" s="6" t="s">
        <v>44</v>
      </c>
      <c r="B192" s="6" t="s">
        <v>45</v>
      </c>
      <c r="C192" s="7">
        <v>2013</v>
      </c>
      <c r="D192" s="8">
        <f t="shared" si="33"/>
        <v>44</v>
      </c>
      <c r="E192" s="9">
        <v>0.91279999999999994</v>
      </c>
      <c r="F192" s="9">
        <v>29.106000000000002</v>
      </c>
      <c r="G192" s="10">
        <v>1</v>
      </c>
      <c r="H192" s="9">
        <f t="shared" si="34"/>
        <v>1</v>
      </c>
      <c r="I192" s="9">
        <v>5.45E-2</v>
      </c>
      <c r="J192" s="9">
        <v>1.02823</v>
      </c>
      <c r="K192" s="9">
        <v>0.1042</v>
      </c>
      <c r="L192" s="9">
        <v>0.94069999999999998</v>
      </c>
      <c r="M192" s="11">
        <v>1.9357800000000001</v>
      </c>
      <c r="N192" s="11">
        <v>6.80985</v>
      </c>
      <c r="O192" s="11">
        <v>0.85314999999999996</v>
      </c>
      <c r="P192" s="11">
        <v>9.5987799999999996</v>
      </c>
      <c r="Q192" s="7"/>
    </row>
    <row r="193" spans="1:17" ht="12.75" customHeight="1" x14ac:dyDescent="0.35">
      <c r="A193" s="6" t="s">
        <v>44</v>
      </c>
      <c r="B193" s="6" t="s">
        <v>45</v>
      </c>
      <c r="C193" s="7">
        <v>2014</v>
      </c>
      <c r="D193" s="8">
        <f t="shared" si="33"/>
        <v>45</v>
      </c>
      <c r="E193" s="9">
        <v>0.66971999999999998</v>
      </c>
      <c r="F193" s="9">
        <v>29.079599999999999</v>
      </c>
      <c r="G193" s="10">
        <v>1</v>
      </c>
      <c r="H193" s="9">
        <f t="shared" si="34"/>
        <v>1</v>
      </c>
      <c r="I193" s="9">
        <v>0.1</v>
      </c>
      <c r="J193" s="9">
        <v>1.5755399999999999</v>
      </c>
      <c r="K193" s="9">
        <v>0.16700000000000001</v>
      </c>
      <c r="L193" s="9">
        <v>0.99160000000000004</v>
      </c>
      <c r="M193" s="11">
        <v>1.75224</v>
      </c>
      <c r="N193" s="11">
        <v>5.7479699999999996</v>
      </c>
      <c r="O193" s="11">
        <v>0.82603000000000004</v>
      </c>
      <c r="P193" s="11">
        <v>8.3262300000000007</v>
      </c>
      <c r="Q193" s="7"/>
    </row>
    <row r="194" spans="1:17" ht="12.75" customHeight="1" x14ac:dyDescent="0.35">
      <c r="A194" s="6" t="s">
        <v>44</v>
      </c>
      <c r="B194" s="6" t="s">
        <v>45</v>
      </c>
      <c r="C194" s="7">
        <v>2015</v>
      </c>
      <c r="D194" s="8">
        <f t="shared" si="33"/>
        <v>46</v>
      </c>
      <c r="E194" s="9">
        <v>0.67256000000000005</v>
      </c>
      <c r="F194" s="9">
        <v>29.1143</v>
      </c>
      <c r="G194" s="10">
        <v>1</v>
      </c>
      <c r="H194" s="9">
        <f t="shared" si="34"/>
        <v>1</v>
      </c>
      <c r="I194" s="9">
        <v>8.5199999999999998E-2</v>
      </c>
      <c r="J194" s="9">
        <v>0.81113000000000002</v>
      </c>
      <c r="K194" s="9">
        <v>0.1424</v>
      </c>
      <c r="L194" s="9">
        <v>0.85660000000000003</v>
      </c>
      <c r="M194" s="11">
        <v>1.55983</v>
      </c>
      <c r="N194" s="11">
        <v>5.0542600000000002</v>
      </c>
      <c r="O194" s="11">
        <v>0.80215000000000003</v>
      </c>
      <c r="P194" s="11">
        <v>7.4162299999999997</v>
      </c>
      <c r="Q194" s="7"/>
    </row>
    <row r="195" spans="1:17" ht="12.75" customHeight="1" x14ac:dyDescent="0.35">
      <c r="A195" s="6" t="s">
        <v>44</v>
      </c>
      <c r="B195" s="6" t="s">
        <v>45</v>
      </c>
      <c r="C195" s="7">
        <v>2016</v>
      </c>
      <c r="D195" s="8">
        <f t="shared" si="33"/>
        <v>47</v>
      </c>
      <c r="E195" s="9">
        <v>0.45633000000000001</v>
      </c>
      <c r="F195" s="9">
        <v>29.064</v>
      </c>
      <c r="G195" s="10">
        <v>1</v>
      </c>
      <c r="H195" s="9">
        <v>1</v>
      </c>
      <c r="I195" s="9">
        <v>7.4200000000000002E-2</v>
      </c>
      <c r="J195" s="9">
        <v>1.04477</v>
      </c>
      <c r="K195" s="9">
        <v>0.108</v>
      </c>
      <c r="L195" s="9">
        <v>0.8639</v>
      </c>
      <c r="M195" s="11">
        <v>1.3476999999999999</v>
      </c>
      <c r="N195" s="11">
        <v>5.6131700000000002</v>
      </c>
      <c r="O195" s="11">
        <v>0.82184999999999997</v>
      </c>
      <c r="P195" s="11">
        <v>7.7827200000000003</v>
      </c>
      <c r="Q195" s="7"/>
    </row>
    <row r="196" spans="1:17" ht="12.75" customHeight="1" x14ac:dyDescent="0.35">
      <c r="A196" s="6" t="s">
        <v>44</v>
      </c>
      <c r="B196" s="6" t="s">
        <v>45</v>
      </c>
      <c r="C196" s="7">
        <v>2017</v>
      </c>
      <c r="D196" s="8">
        <f t="shared" si="33"/>
        <v>48</v>
      </c>
      <c r="E196" s="9">
        <v>0.59092</v>
      </c>
      <c r="F196" s="9">
        <v>29.211099999999998</v>
      </c>
      <c r="G196" s="10">
        <v>1</v>
      </c>
      <c r="H196" s="9">
        <v>0.66666666666666663</v>
      </c>
      <c r="I196" s="9">
        <v>5.0900000000000001E-2</v>
      </c>
      <c r="J196" s="9">
        <v>0.93062</v>
      </c>
      <c r="K196" s="9">
        <v>8.1000000000000003E-2</v>
      </c>
      <c r="L196" s="9">
        <v>1.0255000000000001</v>
      </c>
      <c r="M196" s="11">
        <v>1.8226599999999999</v>
      </c>
      <c r="N196" s="11">
        <v>6.1526500000000004</v>
      </c>
      <c r="O196" s="11">
        <v>0.83747000000000005</v>
      </c>
      <c r="P196" s="11">
        <v>8.8127800000000001</v>
      </c>
      <c r="Q196" s="7"/>
    </row>
    <row r="197" spans="1:17" ht="12.75" customHeight="1" x14ac:dyDescent="0.35">
      <c r="A197" s="6" t="s">
        <v>44</v>
      </c>
      <c r="B197" s="6" t="s">
        <v>45</v>
      </c>
      <c r="C197" s="7">
        <v>2018</v>
      </c>
      <c r="D197" s="8">
        <v>49</v>
      </c>
      <c r="E197" s="9">
        <v>0.71399999999999997</v>
      </c>
      <c r="F197" s="9">
        <v>29.364000000000001</v>
      </c>
      <c r="G197" s="17">
        <v>1</v>
      </c>
      <c r="H197" s="9">
        <v>0.66669999999999996</v>
      </c>
      <c r="I197" s="9">
        <v>4.9000000000000002E-2</v>
      </c>
      <c r="J197" s="9">
        <v>0.86</v>
      </c>
      <c r="K197" s="9">
        <v>8.4000000000000005E-2</v>
      </c>
      <c r="L197" s="9">
        <v>1.171</v>
      </c>
      <c r="M197" s="11">
        <v>2.2030400000000001</v>
      </c>
      <c r="N197" s="11">
        <v>6.6183100000000001</v>
      </c>
      <c r="O197" s="11">
        <v>0.84889999999999999</v>
      </c>
      <c r="P197" s="11">
        <v>9.6702499999999993</v>
      </c>
      <c r="Q197" s="7"/>
    </row>
    <row r="198" spans="1:17" ht="12.75" customHeight="1" x14ac:dyDescent="0.35">
      <c r="A198" s="6" t="s">
        <v>44</v>
      </c>
      <c r="B198" s="6" t="s">
        <v>45</v>
      </c>
      <c r="C198" s="7">
        <v>2019</v>
      </c>
      <c r="D198" s="8">
        <v>50</v>
      </c>
      <c r="E198" s="9">
        <v>0.90300000000000002</v>
      </c>
      <c r="F198" s="9">
        <v>29.548999999999999</v>
      </c>
      <c r="G198" s="17">
        <v>1</v>
      </c>
      <c r="H198" s="9">
        <v>0.66669999999999996</v>
      </c>
      <c r="I198" s="9">
        <v>5.1999999999999998E-2</v>
      </c>
      <c r="J198" s="9">
        <v>0.80300000000000005</v>
      </c>
      <c r="K198" s="9">
        <v>0.1</v>
      </c>
      <c r="L198" s="9">
        <v>1.232</v>
      </c>
      <c r="M198" s="11">
        <v>2.5868199999999999</v>
      </c>
      <c r="N198" s="11">
        <v>6.6202199999999998</v>
      </c>
      <c r="O198" s="11">
        <v>0.84894999999999998</v>
      </c>
      <c r="P198" s="11">
        <v>10.05599</v>
      </c>
      <c r="Q198" s="7"/>
    </row>
    <row r="199" spans="1:17" ht="12.75" customHeight="1" x14ac:dyDescent="0.35">
      <c r="A199" s="6" t="s">
        <v>44</v>
      </c>
      <c r="B199" s="6" t="s">
        <v>45</v>
      </c>
      <c r="C199" s="7">
        <v>2020</v>
      </c>
      <c r="D199" s="8">
        <v>51</v>
      </c>
      <c r="E199" s="9">
        <v>1.022</v>
      </c>
      <c r="F199" s="9">
        <v>29.654</v>
      </c>
      <c r="G199" s="17">
        <v>1</v>
      </c>
      <c r="H199" s="9">
        <v>0.66669999999999996</v>
      </c>
      <c r="I199" s="9">
        <v>3.3000000000000002E-2</v>
      </c>
      <c r="J199" s="9">
        <v>0.84499999999999997</v>
      </c>
      <c r="K199" s="9">
        <v>6.7000000000000004E-2</v>
      </c>
      <c r="L199" s="9">
        <v>1.022</v>
      </c>
      <c r="M199" s="11">
        <v>2.2746200000000001</v>
      </c>
      <c r="N199" s="11">
        <v>6.5026599999999997</v>
      </c>
      <c r="O199" s="11">
        <v>0.84621999999999997</v>
      </c>
      <c r="P199" s="11">
        <v>9.6234999999999999</v>
      </c>
      <c r="Q199" s="7"/>
    </row>
    <row r="200" spans="1:17" ht="12.75" customHeight="1" x14ac:dyDescent="0.35">
      <c r="A200" s="6" t="s">
        <v>44</v>
      </c>
      <c r="B200" s="6" t="s">
        <v>45</v>
      </c>
      <c r="C200" s="7">
        <v>2021</v>
      </c>
      <c r="D200" s="8">
        <v>52</v>
      </c>
      <c r="E200" s="9">
        <v>0.91500000000000004</v>
      </c>
      <c r="F200" s="9">
        <v>29.61</v>
      </c>
      <c r="G200" s="17">
        <v>1</v>
      </c>
      <c r="H200" s="9">
        <v>0.66669999999999996</v>
      </c>
      <c r="I200" s="9">
        <v>1.4999999999999999E-2</v>
      </c>
      <c r="J200" s="9">
        <v>0.75600000000000001</v>
      </c>
      <c r="K200" s="9">
        <v>2.9000000000000001E-2</v>
      </c>
      <c r="L200" s="9">
        <v>1.125</v>
      </c>
      <c r="M200" s="11">
        <v>2.3765800000000001</v>
      </c>
      <c r="N200" s="11">
        <v>6.9528299999999996</v>
      </c>
      <c r="O200" s="11">
        <v>0.85616999999999999</v>
      </c>
      <c r="P200" s="11">
        <v>10.185589999999999</v>
      </c>
      <c r="Q200" s="7"/>
    </row>
    <row r="201" spans="1:17" ht="12.75" customHeight="1" x14ac:dyDescent="0.35">
      <c r="A201" s="6" t="s">
        <v>44</v>
      </c>
      <c r="B201" s="6" t="s">
        <v>45</v>
      </c>
      <c r="C201" s="7">
        <v>2022</v>
      </c>
      <c r="D201" s="8">
        <v>53</v>
      </c>
      <c r="E201" s="9">
        <v>1.1459999999999999</v>
      </c>
      <c r="F201" s="9">
        <v>29.81</v>
      </c>
      <c r="G201" s="17">
        <v>1</v>
      </c>
      <c r="H201" s="9">
        <v>0.66669999999999996</v>
      </c>
      <c r="I201" s="9">
        <v>4.2999999999999997E-2</v>
      </c>
      <c r="J201" s="9">
        <v>0.79200000000000004</v>
      </c>
      <c r="K201" s="9">
        <v>9.1999999999999998E-2</v>
      </c>
      <c r="L201" s="9">
        <v>1.393</v>
      </c>
      <c r="M201" s="11">
        <v>3.2578900000000002</v>
      </c>
      <c r="N201" s="11">
        <v>7.7097199999999999</v>
      </c>
      <c r="O201" s="11">
        <v>0.87029000000000001</v>
      </c>
      <c r="P201" s="11">
        <v>11.837899999999999</v>
      </c>
      <c r="Q201" s="7"/>
    </row>
    <row r="202" spans="1:17" ht="12.75" customHeight="1" x14ac:dyDescent="0.35">
      <c r="A202" s="6" t="s">
        <v>46</v>
      </c>
      <c r="B202" s="6" t="s">
        <v>47</v>
      </c>
      <c r="C202" s="7">
        <v>2012</v>
      </c>
      <c r="D202" s="8">
        <f t="shared" ref="D202:D207" si="35">D203-1</f>
        <v>11</v>
      </c>
      <c r="E202" s="9">
        <v>2.0000800000000001</v>
      </c>
      <c r="F202" s="9">
        <v>30.598299999999998</v>
      </c>
      <c r="G202" s="10">
        <v>0</v>
      </c>
      <c r="H202" s="9">
        <f t="shared" ref="H202:H206" si="36">H203</f>
        <v>0.66666666666666663</v>
      </c>
      <c r="I202" s="9">
        <v>7.4000000000000003E-3</v>
      </c>
      <c r="J202" s="9">
        <v>0.83343</v>
      </c>
      <c r="K202" s="9">
        <v>2.2100000000000002E-2</v>
      </c>
      <c r="L202" s="9">
        <v>0.31590000000000001</v>
      </c>
      <c r="M202" s="11">
        <v>0.56325999999999998</v>
      </c>
      <c r="N202" s="11">
        <v>53.585039999999999</v>
      </c>
      <c r="O202" s="11">
        <v>0.98133999999999999</v>
      </c>
      <c r="P202" s="11">
        <v>55.129640000000002</v>
      </c>
      <c r="Q202" s="7"/>
    </row>
    <row r="203" spans="1:17" ht="12.75" customHeight="1" x14ac:dyDescent="0.35">
      <c r="A203" s="6" t="s">
        <v>46</v>
      </c>
      <c r="B203" s="6" t="s">
        <v>47</v>
      </c>
      <c r="C203" s="7">
        <v>2013</v>
      </c>
      <c r="D203" s="8">
        <f t="shared" si="35"/>
        <v>12</v>
      </c>
      <c r="E203" s="9">
        <v>1.61124</v>
      </c>
      <c r="F203" s="9">
        <v>30.8187</v>
      </c>
      <c r="G203" s="10">
        <v>0</v>
      </c>
      <c r="H203" s="9">
        <f t="shared" si="36"/>
        <v>0.66666666666666663</v>
      </c>
      <c r="I203" s="9">
        <v>7.3400000000000007E-2</v>
      </c>
      <c r="J203" s="9">
        <v>0.72733999999999999</v>
      </c>
      <c r="K203" s="9">
        <v>0.1918</v>
      </c>
      <c r="L203" s="9">
        <v>0.34810000000000002</v>
      </c>
      <c r="M203" s="11">
        <v>0.34869</v>
      </c>
      <c r="N203" s="11">
        <v>29.597359999999998</v>
      </c>
      <c r="O203" s="11">
        <v>0.96621000000000001</v>
      </c>
      <c r="P203" s="11">
        <v>30.91226</v>
      </c>
      <c r="Q203" s="7"/>
    </row>
    <row r="204" spans="1:17" ht="12.75" customHeight="1" x14ac:dyDescent="0.35">
      <c r="A204" s="6" t="s">
        <v>46</v>
      </c>
      <c r="B204" s="6" t="s">
        <v>47</v>
      </c>
      <c r="C204" s="7">
        <v>2014</v>
      </c>
      <c r="D204" s="8">
        <f t="shared" si="35"/>
        <v>13</v>
      </c>
      <c r="E204" s="9">
        <v>2.0933600000000001</v>
      </c>
      <c r="F204" s="9">
        <v>30.758600000000001</v>
      </c>
      <c r="G204" s="10">
        <v>0</v>
      </c>
      <c r="H204" s="9">
        <f t="shared" si="36"/>
        <v>0.66666666666666663</v>
      </c>
      <c r="I204" s="9">
        <v>-2.8299999999999999E-2</v>
      </c>
      <c r="J204" s="9">
        <v>0.86380999999999997</v>
      </c>
      <c r="K204" s="9">
        <v>-8.7499999999999994E-2</v>
      </c>
      <c r="L204" s="9">
        <v>0.4224</v>
      </c>
      <c r="M204" s="11">
        <v>1.1020700000000001</v>
      </c>
      <c r="N204" s="11">
        <v>100.62025</v>
      </c>
      <c r="O204" s="11">
        <v>0.99006000000000005</v>
      </c>
      <c r="P204" s="11">
        <v>102.71239</v>
      </c>
      <c r="Q204" s="7"/>
    </row>
    <row r="205" spans="1:17" ht="12.75" customHeight="1" x14ac:dyDescent="0.35">
      <c r="A205" s="6" t="s">
        <v>46</v>
      </c>
      <c r="B205" s="6" t="s">
        <v>47</v>
      </c>
      <c r="C205" s="7">
        <v>2015</v>
      </c>
      <c r="D205" s="8">
        <f t="shared" si="35"/>
        <v>14</v>
      </c>
      <c r="E205" s="9">
        <v>3.1178699999999999</v>
      </c>
      <c r="F205" s="9">
        <v>30.642399999999999</v>
      </c>
      <c r="G205" s="10">
        <v>0</v>
      </c>
      <c r="H205" s="9">
        <f t="shared" si="36"/>
        <v>0.66666666666666663</v>
      </c>
      <c r="I205" s="9">
        <v>-0.14410000000000001</v>
      </c>
      <c r="J205" s="9">
        <v>0.87439999999999996</v>
      </c>
      <c r="K205" s="9">
        <v>-0.59330000000000005</v>
      </c>
      <c r="L205" s="9">
        <v>0.41149999999999998</v>
      </c>
      <c r="M205" s="11">
        <v>1.7944899999999999</v>
      </c>
      <c r="N205" s="11">
        <v>98.929810000000003</v>
      </c>
      <c r="O205" s="11">
        <v>0.98989000000000005</v>
      </c>
      <c r="P205" s="11">
        <v>101.71419</v>
      </c>
      <c r="Q205" s="7"/>
    </row>
    <row r="206" spans="1:17" ht="12.75" customHeight="1" x14ac:dyDescent="0.35">
      <c r="A206" s="6" t="s">
        <v>46</v>
      </c>
      <c r="B206" s="6" t="s">
        <v>47</v>
      </c>
      <c r="C206" s="7">
        <v>2016</v>
      </c>
      <c r="D206" s="8">
        <f t="shared" si="35"/>
        <v>15</v>
      </c>
      <c r="E206" s="9">
        <v>-15.81739</v>
      </c>
      <c r="F206" s="9">
        <v>30.279499999999999</v>
      </c>
      <c r="G206" s="10">
        <v>0</v>
      </c>
      <c r="H206" s="9">
        <f t="shared" si="36"/>
        <v>0.66666666666666663</v>
      </c>
      <c r="I206" s="9">
        <v>-0.32600000000000001</v>
      </c>
      <c r="J206" s="9">
        <v>1.23949</v>
      </c>
      <c r="K206" s="9">
        <v>4.8308</v>
      </c>
      <c r="L206" s="9">
        <v>0.49399999999999999</v>
      </c>
      <c r="M206" s="11">
        <v>-8.2270800000000008</v>
      </c>
      <c r="N206" s="11">
        <v>47.201650000000001</v>
      </c>
      <c r="O206" s="11">
        <v>0.97880999999999996</v>
      </c>
      <c r="P206" s="11">
        <v>39.953389999999999</v>
      </c>
      <c r="Q206" s="7"/>
    </row>
    <row r="207" spans="1:17" ht="12.75" customHeight="1" x14ac:dyDescent="0.35">
      <c r="A207" s="6" t="s">
        <v>46</v>
      </c>
      <c r="B207" s="6" t="s">
        <v>47</v>
      </c>
      <c r="C207" s="7">
        <v>2017</v>
      </c>
      <c r="D207" s="8">
        <f t="shared" si="35"/>
        <v>16</v>
      </c>
      <c r="E207" s="9">
        <v>13.15211</v>
      </c>
      <c r="F207" s="9">
        <v>30.103100000000001</v>
      </c>
      <c r="G207" s="10">
        <v>0</v>
      </c>
      <c r="H207" s="9">
        <v>0.66666666666666663</v>
      </c>
      <c r="I207" s="9">
        <v>2.8000000000000001E-2</v>
      </c>
      <c r="J207" s="9">
        <v>0.97545000000000004</v>
      </c>
      <c r="K207" s="9">
        <v>0.39579999999999999</v>
      </c>
      <c r="L207" s="9">
        <v>0.36249999999999999</v>
      </c>
      <c r="M207" s="11">
        <v>2.1324299999999998</v>
      </c>
      <c r="N207" s="11">
        <v>23.918130000000001</v>
      </c>
      <c r="O207" s="11">
        <v>0.95818999999999999</v>
      </c>
      <c r="P207" s="11">
        <v>27.008749999999999</v>
      </c>
      <c r="Q207" s="7"/>
    </row>
    <row r="208" spans="1:17" ht="12.75" customHeight="1" x14ac:dyDescent="0.35">
      <c r="A208" s="6" t="s">
        <v>46</v>
      </c>
      <c r="B208" s="6" t="s">
        <v>47</v>
      </c>
      <c r="C208" s="7">
        <v>2018</v>
      </c>
      <c r="D208" s="8">
        <v>17</v>
      </c>
      <c r="E208" s="9">
        <v>7.5259999999999998</v>
      </c>
      <c r="F208" s="9">
        <v>30.009</v>
      </c>
      <c r="G208" s="17">
        <v>0</v>
      </c>
      <c r="H208" s="9">
        <v>0.66669999999999996</v>
      </c>
      <c r="I208" s="9">
        <v>-1.7000000000000001E-2</v>
      </c>
      <c r="J208" s="9">
        <v>0.93200000000000005</v>
      </c>
      <c r="K208" s="9">
        <v>-0.14799999999999999</v>
      </c>
      <c r="L208" s="9">
        <v>0.374</v>
      </c>
      <c r="M208" s="11">
        <v>2.20736</v>
      </c>
      <c r="N208" s="11">
        <v>33.838990000000003</v>
      </c>
      <c r="O208" s="11">
        <v>0.97045000000000003</v>
      </c>
      <c r="P208" s="11">
        <v>37.016800000000003</v>
      </c>
      <c r="Q208" s="7"/>
    </row>
    <row r="209" spans="1:17" ht="12.75" customHeight="1" x14ac:dyDescent="0.35">
      <c r="A209" s="6" t="s">
        <v>46</v>
      </c>
      <c r="B209" s="6" t="s">
        <v>47</v>
      </c>
      <c r="C209" s="7">
        <v>2019</v>
      </c>
      <c r="D209" s="8">
        <v>18</v>
      </c>
      <c r="E209" s="9">
        <v>5.4029999999999996</v>
      </c>
      <c r="F209" s="9">
        <v>29.876000000000001</v>
      </c>
      <c r="G209" s="17">
        <v>0</v>
      </c>
      <c r="H209" s="9">
        <v>0.66669999999999996</v>
      </c>
      <c r="I209" s="9">
        <v>3.5999999999999997E-2</v>
      </c>
      <c r="J209" s="9">
        <v>0.97499999999999998</v>
      </c>
      <c r="K209" s="9">
        <v>0.23100000000000001</v>
      </c>
      <c r="L209" s="9">
        <v>0.49199999999999999</v>
      </c>
      <c r="M209" s="11">
        <v>1.29918</v>
      </c>
      <c r="N209" s="11">
        <v>14.86042</v>
      </c>
      <c r="O209" s="11">
        <v>0.93271000000000004</v>
      </c>
      <c r="P209" s="11">
        <v>17.092310000000001</v>
      </c>
      <c r="Q209" s="7"/>
    </row>
    <row r="210" spans="1:17" ht="12.75" customHeight="1" x14ac:dyDescent="0.35">
      <c r="A210" s="6" t="s">
        <v>46</v>
      </c>
      <c r="B210" s="6" t="s">
        <v>47</v>
      </c>
      <c r="C210" s="7">
        <v>2020</v>
      </c>
      <c r="D210" s="8">
        <v>19</v>
      </c>
      <c r="E210" s="9">
        <v>2.9809999999999999</v>
      </c>
      <c r="F210" s="9">
        <v>30.109000000000002</v>
      </c>
      <c r="G210" s="17">
        <v>0</v>
      </c>
      <c r="H210" s="9">
        <v>0.66669999999999996</v>
      </c>
      <c r="I210" s="9">
        <v>6.9000000000000006E-2</v>
      </c>
      <c r="J210" s="9">
        <v>1.018</v>
      </c>
      <c r="K210" s="9">
        <v>0.27600000000000002</v>
      </c>
      <c r="L210" s="9">
        <v>0.48499999999999999</v>
      </c>
      <c r="M210" s="11">
        <v>0.76419000000000004</v>
      </c>
      <c r="N210" s="11">
        <v>18.558050000000001</v>
      </c>
      <c r="O210" s="11">
        <v>0.94611999999999996</v>
      </c>
      <c r="P210" s="11">
        <v>20.268350000000002</v>
      </c>
      <c r="Q210" s="7"/>
    </row>
    <row r="211" spans="1:17" ht="12.75" customHeight="1" x14ac:dyDescent="0.35">
      <c r="A211" s="6" t="s">
        <v>46</v>
      </c>
      <c r="B211" s="6" t="s">
        <v>47</v>
      </c>
      <c r="C211" s="7">
        <v>2021</v>
      </c>
      <c r="D211" s="8">
        <v>20</v>
      </c>
      <c r="E211" s="9">
        <v>1.369</v>
      </c>
      <c r="F211" s="9">
        <v>30.350999999999999</v>
      </c>
      <c r="G211" s="17">
        <v>0</v>
      </c>
      <c r="H211" s="9">
        <v>0.66669999999999996</v>
      </c>
      <c r="I211" s="9">
        <v>3.6999999999999998E-2</v>
      </c>
      <c r="J211" s="9">
        <v>0.745</v>
      </c>
      <c r="K211" s="9">
        <v>8.7999999999999995E-2</v>
      </c>
      <c r="L211" s="9">
        <v>0.38200000000000001</v>
      </c>
      <c r="M211" s="11">
        <v>0.53944999999999999</v>
      </c>
      <c r="N211" s="11">
        <v>28.863710000000001</v>
      </c>
      <c r="O211" s="11">
        <v>0.96535000000000004</v>
      </c>
      <c r="P211" s="11">
        <v>30.368510000000001</v>
      </c>
      <c r="Q211" s="7"/>
    </row>
    <row r="212" spans="1:17" ht="12.75" customHeight="1" x14ac:dyDescent="0.35">
      <c r="A212" s="6" t="s">
        <v>46</v>
      </c>
      <c r="B212" s="6" t="s">
        <v>47</v>
      </c>
      <c r="C212" s="7">
        <v>2022</v>
      </c>
      <c r="D212" s="8">
        <v>21</v>
      </c>
      <c r="E212" s="9">
        <v>1.319</v>
      </c>
      <c r="F212" s="9">
        <v>30.564</v>
      </c>
      <c r="G212" s="17">
        <v>0</v>
      </c>
      <c r="H212" s="9">
        <v>0.66669999999999996</v>
      </c>
      <c r="I212" s="9">
        <v>5.6000000000000001E-2</v>
      </c>
      <c r="J212" s="9">
        <v>0.95699999999999996</v>
      </c>
      <c r="K212" s="9">
        <v>0.13</v>
      </c>
      <c r="L212" s="9">
        <v>0.378</v>
      </c>
      <c r="M212" s="11">
        <v>0.53081999999999996</v>
      </c>
      <c r="N212" s="11">
        <v>27.925519999999999</v>
      </c>
      <c r="O212" s="11">
        <v>0.96418999999999999</v>
      </c>
      <c r="P212" s="11">
        <v>29.420539999999999</v>
      </c>
      <c r="Q212" s="7"/>
    </row>
    <row r="213" spans="1:17" ht="12.75" customHeight="1" x14ac:dyDescent="0.35">
      <c r="A213" s="6" t="s">
        <v>48</v>
      </c>
      <c r="B213" s="6" t="s">
        <v>49</v>
      </c>
      <c r="C213" s="7">
        <v>2012</v>
      </c>
      <c r="D213" s="8">
        <f t="shared" ref="D213:D218" si="37">D214-1</f>
        <v>19</v>
      </c>
      <c r="E213" s="9">
        <v>1.1952199999999999</v>
      </c>
      <c r="F213" s="9">
        <v>27.591200000000001</v>
      </c>
      <c r="G213" s="10">
        <v>0</v>
      </c>
      <c r="H213" s="9">
        <f t="shared" ref="H213:H216" si="38">H214</f>
        <v>0.33333333333333331</v>
      </c>
      <c r="I213" s="9">
        <v>4.0099999999999997E-2</v>
      </c>
      <c r="J213" s="9">
        <v>0.85682999999999998</v>
      </c>
      <c r="K213" s="9">
        <v>8.7900000000000006E-2</v>
      </c>
      <c r="L213" s="9">
        <v>1.0429999999999999</v>
      </c>
      <c r="M213" s="11">
        <v>2.1207199999999999</v>
      </c>
      <c r="N213" s="11">
        <v>47.65493</v>
      </c>
      <c r="O213" s="11">
        <v>0.97902</v>
      </c>
      <c r="P213" s="11">
        <v>50.754660000000001</v>
      </c>
      <c r="Q213" s="7"/>
    </row>
    <row r="214" spans="1:17" ht="12.75" customHeight="1" x14ac:dyDescent="0.35">
      <c r="A214" s="6" t="s">
        <v>48</v>
      </c>
      <c r="B214" s="6" t="s">
        <v>49</v>
      </c>
      <c r="C214" s="7">
        <v>2013</v>
      </c>
      <c r="D214" s="8">
        <f t="shared" si="37"/>
        <v>20</v>
      </c>
      <c r="E214" s="9">
        <v>1.89842</v>
      </c>
      <c r="F214" s="9">
        <v>27.887</v>
      </c>
      <c r="G214" s="10">
        <v>0</v>
      </c>
      <c r="H214" s="9">
        <f t="shared" si="38"/>
        <v>0.33333333333333331</v>
      </c>
      <c r="I214" s="9">
        <v>6.1000000000000004E-3</v>
      </c>
      <c r="J214" s="9">
        <v>0.92859999999999998</v>
      </c>
      <c r="K214" s="9">
        <v>1.7600000000000001E-2</v>
      </c>
      <c r="L214" s="9">
        <v>0.93369999999999997</v>
      </c>
      <c r="M214" s="11">
        <v>2.4050699999999998</v>
      </c>
      <c r="N214" s="11">
        <v>43.420099999999998</v>
      </c>
      <c r="O214" s="11">
        <v>0.97697000000000001</v>
      </c>
      <c r="P214" s="11">
        <v>46.802140000000001</v>
      </c>
      <c r="Q214" s="7"/>
    </row>
    <row r="215" spans="1:17" ht="12.75" customHeight="1" x14ac:dyDescent="0.35">
      <c r="A215" s="6" t="s">
        <v>48</v>
      </c>
      <c r="B215" s="6" t="s">
        <v>49</v>
      </c>
      <c r="C215" s="7">
        <v>2014</v>
      </c>
      <c r="D215" s="8">
        <f t="shared" si="37"/>
        <v>21</v>
      </c>
      <c r="E215" s="9">
        <v>3.5082200000000001</v>
      </c>
      <c r="F215" s="9">
        <v>27.919499999999999</v>
      </c>
      <c r="G215" s="10">
        <v>0</v>
      </c>
      <c r="H215" s="9">
        <f t="shared" si="38"/>
        <v>0.33333333333333331</v>
      </c>
      <c r="I215" s="9">
        <v>-0.10639999999999999</v>
      </c>
      <c r="J215" s="9">
        <v>0.96684999999999999</v>
      </c>
      <c r="K215" s="9">
        <v>-0.4798</v>
      </c>
      <c r="L215" s="9">
        <v>0.74950000000000006</v>
      </c>
      <c r="M215" s="11">
        <v>3.7027600000000001</v>
      </c>
      <c r="N215" s="11">
        <v>23.048670000000001</v>
      </c>
      <c r="O215" s="11">
        <v>0.95660999999999996</v>
      </c>
      <c r="P215" s="11">
        <v>27.70804</v>
      </c>
      <c r="Q215" s="7"/>
    </row>
    <row r="216" spans="1:17" ht="12.75" customHeight="1" x14ac:dyDescent="0.35">
      <c r="A216" s="6" t="s">
        <v>48</v>
      </c>
      <c r="B216" s="6" t="s">
        <v>49</v>
      </c>
      <c r="C216" s="7">
        <v>2015</v>
      </c>
      <c r="D216" s="8">
        <f t="shared" si="37"/>
        <v>22</v>
      </c>
      <c r="E216" s="9">
        <v>16.588229999999999</v>
      </c>
      <c r="F216" s="9">
        <v>27.918299999999999</v>
      </c>
      <c r="G216" s="10">
        <v>0</v>
      </c>
      <c r="H216" s="9">
        <f t="shared" si="38"/>
        <v>0.33333333333333331</v>
      </c>
      <c r="I216" s="9">
        <v>-0.16800000000000001</v>
      </c>
      <c r="J216" s="9">
        <v>0.99980999999999998</v>
      </c>
      <c r="K216" s="9">
        <v>-2.9552999999999998</v>
      </c>
      <c r="L216" s="9">
        <v>0.29699999999999999</v>
      </c>
      <c r="M216" s="11">
        <v>4.8070599999999999</v>
      </c>
      <c r="N216" s="11">
        <v>10.8725</v>
      </c>
      <c r="O216" s="11">
        <v>0.90802000000000005</v>
      </c>
      <c r="P216" s="11">
        <v>16.587579999999999</v>
      </c>
      <c r="Q216" s="7"/>
    </row>
    <row r="217" spans="1:17" ht="12.75" customHeight="1" x14ac:dyDescent="0.35">
      <c r="A217" s="6" t="s">
        <v>48</v>
      </c>
      <c r="B217" s="6" t="s">
        <v>49</v>
      </c>
      <c r="C217" s="7">
        <v>2016</v>
      </c>
      <c r="D217" s="8">
        <f t="shared" si="37"/>
        <v>23</v>
      </c>
      <c r="E217" s="9">
        <v>162.19031000000001</v>
      </c>
      <c r="F217" s="9">
        <v>27.778500000000001</v>
      </c>
      <c r="G217" s="10">
        <v>0</v>
      </c>
      <c r="H217" s="9">
        <v>0.33333333333333331</v>
      </c>
      <c r="I217" s="9">
        <v>-5.91E-2</v>
      </c>
      <c r="J217" s="9">
        <v>1.0623800000000001</v>
      </c>
      <c r="K217" s="9">
        <v>-9.6395</v>
      </c>
      <c r="L217" s="9">
        <v>0.2097</v>
      </c>
      <c r="M217" s="11">
        <v>3.1495700000000002</v>
      </c>
      <c r="N217" s="11">
        <v>25.792439999999999</v>
      </c>
      <c r="O217" s="11">
        <v>0.96123000000000003</v>
      </c>
      <c r="P217" s="11">
        <v>58.249369999999999</v>
      </c>
      <c r="Q217" s="7"/>
    </row>
    <row r="218" spans="1:17" ht="12.75" customHeight="1" x14ac:dyDescent="0.35">
      <c r="A218" s="6" t="s">
        <v>48</v>
      </c>
      <c r="B218" s="6" t="s">
        <v>49</v>
      </c>
      <c r="C218" s="7">
        <v>2017</v>
      </c>
      <c r="D218" s="8">
        <f t="shared" si="37"/>
        <v>24</v>
      </c>
      <c r="E218" s="9">
        <v>-10.18817</v>
      </c>
      <c r="F218" s="9">
        <v>27.7395</v>
      </c>
      <c r="G218" s="10">
        <v>0</v>
      </c>
      <c r="H218" s="9">
        <v>0.33333333333333331</v>
      </c>
      <c r="I218" s="9">
        <v>-0.1143</v>
      </c>
      <c r="J218" s="9">
        <v>1.16357</v>
      </c>
      <c r="K218" s="9">
        <v>1.0497000000000001</v>
      </c>
      <c r="L218" s="9">
        <v>4.6399999999999997E-2</v>
      </c>
      <c r="M218" s="11">
        <v>-0.15336</v>
      </c>
      <c r="N218" s="11">
        <v>2.7045499999999998</v>
      </c>
      <c r="O218" s="11">
        <v>0.63024999999999998</v>
      </c>
      <c r="P218" s="11">
        <v>3.1814399999999998</v>
      </c>
      <c r="Q218" s="7"/>
    </row>
    <row r="219" spans="1:17" ht="12.75" customHeight="1" x14ac:dyDescent="0.35">
      <c r="A219" s="6" t="s">
        <v>48</v>
      </c>
      <c r="B219" s="6" t="s">
        <v>49</v>
      </c>
      <c r="C219" s="7">
        <v>2018</v>
      </c>
      <c r="D219" s="8">
        <v>25</v>
      </c>
      <c r="E219" s="9">
        <v>-5.2539999999999996</v>
      </c>
      <c r="F219" s="9">
        <v>27.72</v>
      </c>
      <c r="G219" s="17">
        <v>0</v>
      </c>
      <c r="H219" s="9">
        <v>0.33329999999999999</v>
      </c>
      <c r="I219" s="9">
        <v>-0.127</v>
      </c>
      <c r="J219" s="9">
        <v>1.3069999999999999</v>
      </c>
      <c r="K219" s="9">
        <v>0.53800000000000003</v>
      </c>
      <c r="L219" s="9">
        <v>2.1999999999999999E-2</v>
      </c>
      <c r="M219" s="11">
        <v>6.4030000000000004E-2</v>
      </c>
      <c r="N219" s="11">
        <v>-2.0373100000000002</v>
      </c>
      <c r="O219" s="11">
        <v>1.4908399999999999</v>
      </c>
      <c r="P219" s="11">
        <v>-0.48243999999999998</v>
      </c>
      <c r="Q219" s="7"/>
    </row>
    <row r="220" spans="1:17" ht="12.75" customHeight="1" x14ac:dyDescent="0.35">
      <c r="A220" s="6" t="s">
        <v>48</v>
      </c>
      <c r="B220" s="6" t="s">
        <v>49</v>
      </c>
      <c r="C220" s="7">
        <v>2019</v>
      </c>
      <c r="D220" s="8">
        <v>26</v>
      </c>
      <c r="E220" s="9">
        <v>-4.2480000000000002</v>
      </c>
      <c r="F220" s="9">
        <v>27.748000000000001</v>
      </c>
      <c r="G220" s="17">
        <v>0</v>
      </c>
      <c r="H220" s="9">
        <v>0.33329999999999999</v>
      </c>
      <c r="I220" s="9">
        <v>-0.08</v>
      </c>
      <c r="J220" s="9">
        <v>1.5740000000000001</v>
      </c>
      <c r="K220" s="9">
        <v>0.25900000000000001</v>
      </c>
      <c r="L220" s="9">
        <v>0.19900000000000001</v>
      </c>
      <c r="M220" s="11">
        <v>-0.68613999999999997</v>
      </c>
      <c r="N220" s="11">
        <v>25.708410000000001</v>
      </c>
      <c r="O220" s="11">
        <v>0.96109999999999995</v>
      </c>
      <c r="P220" s="11">
        <v>25.983370000000001</v>
      </c>
      <c r="Q220" s="7"/>
    </row>
    <row r="221" spans="1:17" ht="12.75" customHeight="1" x14ac:dyDescent="0.35">
      <c r="A221" s="6" t="s">
        <v>48</v>
      </c>
      <c r="B221" s="6" t="s">
        <v>49</v>
      </c>
      <c r="C221" s="7">
        <v>2020</v>
      </c>
      <c r="D221" s="8">
        <v>27</v>
      </c>
      <c r="E221" s="9">
        <v>-4.9370000000000003</v>
      </c>
      <c r="F221" s="9">
        <v>27.684999999999999</v>
      </c>
      <c r="G221" s="17">
        <v>0</v>
      </c>
      <c r="H221" s="9">
        <v>0.33329999999999999</v>
      </c>
      <c r="I221" s="9">
        <v>6.9000000000000006E-2</v>
      </c>
      <c r="J221" s="9">
        <v>1.528</v>
      </c>
      <c r="K221" s="9">
        <v>-0.27100000000000002</v>
      </c>
      <c r="L221" s="9">
        <v>0</v>
      </c>
      <c r="M221" s="11">
        <v>0.39388000000000001</v>
      </c>
      <c r="N221" s="11">
        <v>-20.094999999999999</v>
      </c>
      <c r="O221" s="11">
        <v>1.04976</v>
      </c>
      <c r="P221" s="11">
        <v>-18.651350000000001</v>
      </c>
      <c r="Q221" s="7"/>
    </row>
    <row r="222" spans="1:17" ht="12.75" customHeight="1" x14ac:dyDescent="0.35">
      <c r="A222" s="6" t="s">
        <v>48</v>
      </c>
      <c r="B222" s="6" t="s">
        <v>49</v>
      </c>
      <c r="C222" s="7">
        <v>2021</v>
      </c>
      <c r="D222" s="8">
        <v>28</v>
      </c>
      <c r="E222" s="9">
        <v>-10.176</v>
      </c>
      <c r="F222" s="9">
        <v>27.683</v>
      </c>
      <c r="G222" s="17">
        <v>0</v>
      </c>
      <c r="H222" s="9">
        <v>0.5</v>
      </c>
      <c r="I222" s="9">
        <v>-0.11799999999999999</v>
      </c>
      <c r="J222" s="9">
        <v>1.3839999999999999</v>
      </c>
      <c r="K222" s="9">
        <v>1.085</v>
      </c>
      <c r="L222" s="9">
        <v>4.0000000000000001E-3</v>
      </c>
      <c r="M222" s="11">
        <v>0.13999</v>
      </c>
      <c r="N222" s="11">
        <v>-2.4454899999999999</v>
      </c>
      <c r="O222" s="11">
        <v>1.40892</v>
      </c>
      <c r="P222" s="11">
        <v>-0.89659</v>
      </c>
      <c r="Q222" s="7"/>
    </row>
    <row r="223" spans="1:17" ht="12.75" customHeight="1" x14ac:dyDescent="0.35">
      <c r="A223" s="6" t="s">
        <v>50</v>
      </c>
      <c r="B223" s="6" t="s">
        <v>51</v>
      </c>
      <c r="C223" s="7">
        <v>2017</v>
      </c>
      <c r="D223" s="8">
        <f>D224-1</f>
        <v>2</v>
      </c>
      <c r="E223" s="9">
        <v>1.03756</v>
      </c>
      <c r="F223" s="9">
        <v>26.8489</v>
      </c>
      <c r="G223" s="10">
        <v>0</v>
      </c>
      <c r="H223" s="9">
        <v>0.66666666666666663</v>
      </c>
      <c r="I223" s="9">
        <v>-2.3E-3</v>
      </c>
      <c r="J223" s="9">
        <v>4.75237</v>
      </c>
      <c r="K223" s="9">
        <v>-4.7000000000000002E-3</v>
      </c>
      <c r="L223" s="9">
        <v>0.38679999999999998</v>
      </c>
      <c r="M223" s="11">
        <v>0.69772999999999996</v>
      </c>
      <c r="N223" s="11">
        <v>26.727650000000001</v>
      </c>
      <c r="O223" s="11">
        <v>0.96258999999999995</v>
      </c>
      <c r="P223" s="11">
        <v>28.38796</v>
      </c>
      <c r="Q223" s="7"/>
    </row>
    <row r="224" spans="1:17" ht="12.75" customHeight="1" x14ac:dyDescent="0.35">
      <c r="A224" s="6" t="s">
        <v>50</v>
      </c>
      <c r="B224" s="6" t="s">
        <v>51</v>
      </c>
      <c r="C224" s="7">
        <v>2018</v>
      </c>
      <c r="D224" s="8">
        <v>3</v>
      </c>
      <c r="E224" s="9">
        <v>0.77300000000000002</v>
      </c>
      <c r="F224" s="9">
        <v>27.074999999999999</v>
      </c>
      <c r="G224" s="17">
        <v>0</v>
      </c>
      <c r="H224" s="9">
        <v>0.66669999999999996</v>
      </c>
      <c r="I224" s="9">
        <v>-5.0000000000000001E-3</v>
      </c>
      <c r="J224" s="9">
        <v>20.253</v>
      </c>
      <c r="K224" s="9">
        <v>-8.9999999999999993E-3</v>
      </c>
      <c r="L224" s="9">
        <v>1.367</v>
      </c>
      <c r="M224" s="11">
        <v>2.3489399999999998</v>
      </c>
      <c r="N224" s="11">
        <v>116.05495000000001</v>
      </c>
      <c r="O224" s="11">
        <v>0.99138000000000004</v>
      </c>
      <c r="P224" s="11">
        <v>119.39527</v>
      </c>
      <c r="Q224" s="7"/>
    </row>
    <row r="225" spans="1:17" ht="12.75" customHeight="1" x14ac:dyDescent="0.35">
      <c r="A225" s="6" t="s">
        <v>50</v>
      </c>
      <c r="B225" s="6" t="s">
        <v>51</v>
      </c>
      <c r="C225" s="7">
        <v>2019</v>
      </c>
      <c r="D225" s="8">
        <v>4</v>
      </c>
      <c r="E225" s="9">
        <v>0.59899999999999998</v>
      </c>
      <c r="F225" s="9">
        <v>27.021000000000001</v>
      </c>
      <c r="G225" s="17">
        <v>0</v>
      </c>
      <c r="H225" s="9">
        <v>0.66669999999999996</v>
      </c>
      <c r="I225" s="9">
        <v>1.9E-2</v>
      </c>
      <c r="J225" s="9">
        <v>1.26</v>
      </c>
      <c r="K225" s="9">
        <v>3.1E-2</v>
      </c>
      <c r="L225" s="9">
        <v>2.2490000000000001</v>
      </c>
      <c r="M225" s="11">
        <v>3.4992399999999999</v>
      </c>
      <c r="N225" s="11">
        <v>91.29034</v>
      </c>
      <c r="O225" s="11">
        <v>0.98904999999999998</v>
      </c>
      <c r="P225" s="11">
        <v>95.778630000000007</v>
      </c>
      <c r="Q225" s="7"/>
    </row>
    <row r="226" spans="1:17" ht="12.75" customHeight="1" x14ac:dyDescent="0.35">
      <c r="A226" s="6" t="s">
        <v>50</v>
      </c>
      <c r="B226" s="6" t="s">
        <v>51</v>
      </c>
      <c r="C226" s="7">
        <v>2020</v>
      </c>
      <c r="D226" s="8">
        <v>5</v>
      </c>
      <c r="E226" s="9">
        <v>0.432</v>
      </c>
      <c r="F226" s="9">
        <v>26.948</v>
      </c>
      <c r="G226" s="17">
        <v>0</v>
      </c>
      <c r="H226" s="9">
        <v>0.66669999999999996</v>
      </c>
      <c r="I226" s="9">
        <v>2.7E-2</v>
      </c>
      <c r="J226" s="9">
        <v>4.1559999999999997</v>
      </c>
      <c r="K226" s="9">
        <v>3.9E-2</v>
      </c>
      <c r="L226" s="9">
        <v>2.1160000000000001</v>
      </c>
      <c r="M226" s="11">
        <v>2.8247399999999998</v>
      </c>
      <c r="N226" s="11">
        <v>122.9143</v>
      </c>
      <c r="O226" s="11">
        <v>0.99185999999999996</v>
      </c>
      <c r="P226" s="11">
        <v>126.73090000000001</v>
      </c>
      <c r="Q226" s="7"/>
    </row>
    <row r="227" spans="1:17" ht="12.75" customHeight="1" x14ac:dyDescent="0.35">
      <c r="A227" s="6" t="s">
        <v>50</v>
      </c>
      <c r="B227" s="6" t="s">
        <v>51</v>
      </c>
      <c r="C227" s="7">
        <v>2021</v>
      </c>
      <c r="D227" s="8">
        <v>6</v>
      </c>
      <c r="E227" s="9">
        <v>0.60799999999999998</v>
      </c>
      <c r="F227" s="9">
        <v>26.925999999999998</v>
      </c>
      <c r="G227" s="17">
        <v>0</v>
      </c>
      <c r="H227" s="9">
        <v>0.66669999999999996</v>
      </c>
      <c r="I227" s="9">
        <v>-9.2999999999999999E-2</v>
      </c>
      <c r="J227" s="9">
        <v>1.7450000000000001</v>
      </c>
      <c r="K227" s="9">
        <v>-0.14899999999999999</v>
      </c>
      <c r="L227" s="9">
        <v>1.702</v>
      </c>
      <c r="M227" s="11">
        <v>2.57436</v>
      </c>
      <c r="N227" s="11">
        <v>84.04</v>
      </c>
      <c r="O227" s="11">
        <v>0.98809999999999998</v>
      </c>
      <c r="P227" s="11">
        <v>87.602469999999997</v>
      </c>
      <c r="Q227" s="7"/>
    </row>
    <row r="228" spans="1:17" ht="12.75" customHeight="1" x14ac:dyDescent="0.35">
      <c r="A228" s="6" t="s">
        <v>50</v>
      </c>
      <c r="B228" s="6" t="s">
        <v>51</v>
      </c>
      <c r="C228" s="7">
        <v>2022</v>
      </c>
      <c r="D228" s="8">
        <v>7</v>
      </c>
      <c r="E228" s="9">
        <v>0.70199999999999996</v>
      </c>
      <c r="F228" s="9">
        <v>26.620999999999999</v>
      </c>
      <c r="G228" s="17">
        <v>0</v>
      </c>
      <c r="H228" s="9">
        <v>0.66669999999999996</v>
      </c>
      <c r="I228" s="9">
        <v>-0.26</v>
      </c>
      <c r="J228" s="9">
        <v>1.0720000000000001</v>
      </c>
      <c r="K228" s="9">
        <v>-0.442</v>
      </c>
      <c r="L228" s="9">
        <v>0.68700000000000006</v>
      </c>
      <c r="M228" s="11">
        <v>1.21126</v>
      </c>
      <c r="N228" s="11">
        <v>26.041709999999998</v>
      </c>
      <c r="O228" s="11">
        <v>0.96160000000000001</v>
      </c>
      <c r="P228" s="11">
        <v>28.214580000000002</v>
      </c>
      <c r="Q228" s="7"/>
    </row>
    <row r="229" spans="1:17" ht="12.75" customHeight="1" x14ac:dyDescent="0.35">
      <c r="A229" s="6" t="s">
        <v>52</v>
      </c>
      <c r="B229" s="6" t="s">
        <v>53</v>
      </c>
      <c r="C229" s="7">
        <v>2012</v>
      </c>
      <c r="D229" s="8">
        <f t="shared" ref="D229:D234" si="39">D230-1</f>
        <v>15</v>
      </c>
      <c r="E229" s="9">
        <v>0.18572</v>
      </c>
      <c r="F229" s="9">
        <v>28.8398</v>
      </c>
      <c r="G229" s="10">
        <v>1</v>
      </c>
      <c r="H229" s="9">
        <f t="shared" ref="H229:H232" si="40">H230</f>
        <v>0.66666666666666663</v>
      </c>
      <c r="I229" s="9">
        <v>5.1700000000000003E-2</v>
      </c>
      <c r="J229" s="9">
        <v>4.2177499999999997</v>
      </c>
      <c r="K229" s="9">
        <v>6.13E-2</v>
      </c>
      <c r="L229" s="9">
        <v>1.1507000000000001</v>
      </c>
      <c r="M229" s="11">
        <v>1.3968100000000001</v>
      </c>
      <c r="N229" s="11">
        <v>28.381699999999999</v>
      </c>
      <c r="O229" s="11">
        <v>0.96477000000000002</v>
      </c>
      <c r="P229" s="11">
        <v>30.743269999999999</v>
      </c>
      <c r="Q229" s="7"/>
    </row>
    <row r="230" spans="1:17" ht="12.75" customHeight="1" x14ac:dyDescent="0.35">
      <c r="A230" s="6" t="s">
        <v>52</v>
      </c>
      <c r="B230" s="6" t="s">
        <v>53</v>
      </c>
      <c r="C230" s="7">
        <v>2013</v>
      </c>
      <c r="D230" s="8">
        <f t="shared" si="39"/>
        <v>16</v>
      </c>
      <c r="E230" s="9">
        <v>0.35826999999999998</v>
      </c>
      <c r="F230" s="9">
        <v>28.860399999999998</v>
      </c>
      <c r="G230" s="10">
        <v>1</v>
      </c>
      <c r="H230" s="9">
        <f t="shared" si="40"/>
        <v>0.66666666666666663</v>
      </c>
      <c r="I230" s="9">
        <v>5.67E-2</v>
      </c>
      <c r="J230" s="9">
        <v>3.4679099999999998</v>
      </c>
      <c r="K230" s="9">
        <v>7.7100000000000002E-2</v>
      </c>
      <c r="L230" s="9">
        <v>1.1087</v>
      </c>
      <c r="M230" s="11">
        <v>1.5244200000000001</v>
      </c>
      <c r="N230" s="11">
        <v>32.099499999999999</v>
      </c>
      <c r="O230" s="11">
        <v>0.96884999999999999</v>
      </c>
      <c r="P230" s="11">
        <v>34.592770000000002</v>
      </c>
      <c r="Q230" s="7"/>
    </row>
    <row r="231" spans="1:17" ht="12.75" customHeight="1" x14ac:dyDescent="0.35">
      <c r="A231" s="6" t="s">
        <v>52</v>
      </c>
      <c r="B231" s="6" t="s">
        <v>53</v>
      </c>
      <c r="C231" s="7">
        <v>2014</v>
      </c>
      <c r="D231" s="8">
        <f t="shared" si="39"/>
        <v>17</v>
      </c>
      <c r="E231" s="9">
        <v>0.27244000000000002</v>
      </c>
      <c r="F231" s="9">
        <v>28.9526</v>
      </c>
      <c r="G231" s="10">
        <v>1</v>
      </c>
      <c r="H231" s="9">
        <f t="shared" si="40"/>
        <v>0.66666666666666663</v>
      </c>
      <c r="I231" s="9">
        <v>3.4200000000000001E-2</v>
      </c>
      <c r="J231" s="9">
        <v>3.2151800000000001</v>
      </c>
      <c r="K231" s="9">
        <v>4.3499999999999997E-2</v>
      </c>
      <c r="L231" s="9">
        <v>1.3812</v>
      </c>
      <c r="M231" s="11">
        <v>1.74129</v>
      </c>
      <c r="N231" s="11">
        <v>35.574199999999998</v>
      </c>
      <c r="O231" s="11">
        <v>0.97189000000000003</v>
      </c>
      <c r="P231" s="11">
        <v>38.287390000000002</v>
      </c>
      <c r="Q231" s="7"/>
    </row>
    <row r="232" spans="1:17" ht="12.75" customHeight="1" x14ac:dyDescent="0.35">
      <c r="A232" s="6" t="s">
        <v>52</v>
      </c>
      <c r="B232" s="6" t="s">
        <v>53</v>
      </c>
      <c r="C232" s="7">
        <v>2015</v>
      </c>
      <c r="D232" s="8">
        <f t="shared" si="39"/>
        <v>18</v>
      </c>
      <c r="E232" s="9">
        <v>0.49353000000000002</v>
      </c>
      <c r="F232" s="9">
        <v>29.230499999999999</v>
      </c>
      <c r="G232" s="10">
        <v>1</v>
      </c>
      <c r="H232" s="9">
        <f t="shared" si="40"/>
        <v>0.66666666666666663</v>
      </c>
      <c r="I232" s="9">
        <v>5.4999999999999997E-3</v>
      </c>
      <c r="J232" s="9">
        <v>1.9459500000000001</v>
      </c>
      <c r="K232" s="9">
        <v>8.2000000000000007E-3</v>
      </c>
      <c r="L232" s="9">
        <v>0.95540000000000003</v>
      </c>
      <c r="M232" s="11">
        <v>1.43123</v>
      </c>
      <c r="N232" s="11">
        <v>28.335149999999999</v>
      </c>
      <c r="O232" s="11">
        <v>0.96470999999999996</v>
      </c>
      <c r="P232" s="11">
        <v>30.731079999999999</v>
      </c>
      <c r="Q232" s="7"/>
    </row>
    <row r="233" spans="1:17" ht="12.75" customHeight="1" x14ac:dyDescent="0.35">
      <c r="A233" s="6" t="s">
        <v>52</v>
      </c>
      <c r="B233" s="6" t="s">
        <v>53</v>
      </c>
      <c r="C233" s="7">
        <v>2016</v>
      </c>
      <c r="D233" s="8">
        <f t="shared" si="39"/>
        <v>19</v>
      </c>
      <c r="E233" s="9">
        <v>0.42560999999999999</v>
      </c>
      <c r="F233" s="9">
        <v>29.2456</v>
      </c>
      <c r="G233" s="10">
        <v>1</v>
      </c>
      <c r="H233" s="9">
        <v>0.66666666666666663</v>
      </c>
      <c r="I233" s="9">
        <v>9.1200000000000003E-2</v>
      </c>
      <c r="J233" s="9">
        <v>3.42781</v>
      </c>
      <c r="K233" s="9">
        <v>0.13</v>
      </c>
      <c r="L233" s="9">
        <v>1.0177</v>
      </c>
      <c r="M233" s="11">
        <v>1.29497</v>
      </c>
      <c r="N233" s="11">
        <v>25.40635</v>
      </c>
      <c r="O233" s="11">
        <v>0.96064000000000005</v>
      </c>
      <c r="P233" s="11">
        <v>27.66197</v>
      </c>
      <c r="Q233" s="7"/>
    </row>
    <row r="234" spans="1:17" ht="12.75" customHeight="1" x14ac:dyDescent="0.35">
      <c r="A234" s="6" t="s">
        <v>52</v>
      </c>
      <c r="B234" s="6" t="s">
        <v>53</v>
      </c>
      <c r="C234" s="7">
        <v>2017</v>
      </c>
      <c r="D234" s="8">
        <f t="shared" si="39"/>
        <v>20</v>
      </c>
      <c r="E234" s="9">
        <v>1.0206500000000001</v>
      </c>
      <c r="F234" s="9">
        <v>29.7104</v>
      </c>
      <c r="G234" s="10">
        <v>1</v>
      </c>
      <c r="H234" s="9">
        <v>0.33333333333333331</v>
      </c>
      <c r="I234" s="9">
        <v>0.1996</v>
      </c>
      <c r="J234" s="9">
        <v>2.5275400000000001</v>
      </c>
      <c r="K234" s="9">
        <v>0.40339999999999998</v>
      </c>
      <c r="L234" s="9">
        <v>1.2862</v>
      </c>
      <c r="M234" s="11">
        <v>2.0674299999999999</v>
      </c>
      <c r="N234" s="11">
        <v>35.992789999999999</v>
      </c>
      <c r="O234" s="11">
        <v>0.97221999999999997</v>
      </c>
      <c r="P234" s="11">
        <v>39.032429999999998</v>
      </c>
      <c r="Q234" s="7"/>
    </row>
    <row r="235" spans="1:17" ht="12.75" customHeight="1" x14ac:dyDescent="0.35">
      <c r="A235" s="6" t="s">
        <v>52</v>
      </c>
      <c r="B235" s="6" t="s">
        <v>53</v>
      </c>
      <c r="C235" s="7">
        <v>2018</v>
      </c>
      <c r="D235" s="8">
        <v>21</v>
      </c>
      <c r="E235" s="9">
        <v>1.22</v>
      </c>
      <c r="F235" s="9">
        <v>29.966999999999999</v>
      </c>
      <c r="G235" s="17">
        <v>1</v>
      </c>
      <c r="H235" s="9">
        <v>0.33329999999999999</v>
      </c>
      <c r="I235" s="9">
        <v>0.14099999999999999</v>
      </c>
      <c r="J235" s="9">
        <v>2.0270000000000001</v>
      </c>
      <c r="K235" s="9">
        <v>0.313</v>
      </c>
      <c r="L235" s="9">
        <v>1.4910000000000001</v>
      </c>
      <c r="M235" s="11">
        <v>2.9222000000000001</v>
      </c>
      <c r="N235" s="11">
        <v>40.412860000000002</v>
      </c>
      <c r="O235" s="11">
        <v>0.97526000000000002</v>
      </c>
      <c r="P235" s="11">
        <v>44.310310000000001</v>
      </c>
      <c r="Q235" s="7"/>
    </row>
    <row r="236" spans="1:17" ht="12.75" customHeight="1" x14ac:dyDescent="0.35">
      <c r="A236" s="6" t="s">
        <v>52</v>
      </c>
      <c r="B236" s="6" t="s">
        <v>53</v>
      </c>
      <c r="C236" s="7">
        <v>2019</v>
      </c>
      <c r="D236" s="8">
        <v>22</v>
      </c>
      <c r="E236" s="9">
        <v>1.179</v>
      </c>
      <c r="F236" s="9">
        <v>30.015000000000001</v>
      </c>
      <c r="G236" s="17">
        <v>1</v>
      </c>
      <c r="H236" s="9">
        <v>0.66669999999999996</v>
      </c>
      <c r="I236" s="9">
        <v>8.5999999999999993E-2</v>
      </c>
      <c r="J236" s="9">
        <v>1.6930000000000001</v>
      </c>
      <c r="K236" s="9">
        <v>0.186</v>
      </c>
      <c r="L236" s="9">
        <v>1.419</v>
      </c>
      <c r="M236" s="11">
        <v>2.8644099999999999</v>
      </c>
      <c r="N236" s="11">
        <v>37.609940000000002</v>
      </c>
      <c r="O236" s="11">
        <v>0.97341</v>
      </c>
      <c r="P236" s="11">
        <v>41.447760000000002</v>
      </c>
      <c r="Q236" s="7"/>
    </row>
    <row r="237" spans="1:17" ht="12.75" customHeight="1" x14ac:dyDescent="0.35">
      <c r="A237" s="6" t="s">
        <v>52</v>
      </c>
      <c r="B237" s="6" t="s">
        <v>53</v>
      </c>
      <c r="C237" s="7">
        <v>2020</v>
      </c>
      <c r="D237" s="8">
        <v>23</v>
      </c>
      <c r="E237" s="9">
        <v>1.329</v>
      </c>
      <c r="F237" s="9">
        <v>30.071000000000002</v>
      </c>
      <c r="G237" s="17">
        <v>1</v>
      </c>
      <c r="H237" s="9">
        <v>0.66669999999999996</v>
      </c>
      <c r="I237" s="9">
        <v>0.11799999999999999</v>
      </c>
      <c r="J237" s="9">
        <v>1.877</v>
      </c>
      <c r="K237" s="9">
        <v>0.27400000000000002</v>
      </c>
      <c r="L237" s="9">
        <v>1.304</v>
      </c>
      <c r="M237" s="11">
        <v>2.67733</v>
      </c>
      <c r="N237" s="11">
        <v>34.890410000000003</v>
      </c>
      <c r="O237" s="11">
        <v>0.97133999999999998</v>
      </c>
      <c r="P237" s="11">
        <v>38.539079999999998</v>
      </c>
      <c r="Q237" s="7"/>
    </row>
    <row r="238" spans="1:17" ht="12.75" customHeight="1" x14ac:dyDescent="0.35">
      <c r="A238" s="6" t="s">
        <v>52</v>
      </c>
      <c r="B238" s="6" t="s">
        <v>53</v>
      </c>
      <c r="C238" s="7">
        <v>2021</v>
      </c>
      <c r="D238" s="8">
        <v>24</v>
      </c>
      <c r="E238" s="9">
        <v>1.621</v>
      </c>
      <c r="F238" s="9">
        <v>30.102</v>
      </c>
      <c r="G238" s="17">
        <v>1</v>
      </c>
      <c r="H238" s="9">
        <v>0.66669999999999996</v>
      </c>
      <c r="I238" s="9">
        <v>0.42699999999999999</v>
      </c>
      <c r="J238" s="9">
        <v>4.5720000000000001</v>
      </c>
      <c r="K238" s="9">
        <v>1.119</v>
      </c>
      <c r="L238" s="9">
        <v>2E-3</v>
      </c>
      <c r="M238" s="11">
        <v>3.6040700000000001</v>
      </c>
      <c r="N238" s="11">
        <v>23.17606</v>
      </c>
      <c r="O238" s="11">
        <v>0.95684999999999998</v>
      </c>
      <c r="P238" s="11">
        <v>27.736979999999999</v>
      </c>
      <c r="Q238" s="7"/>
    </row>
    <row r="239" spans="1:17" ht="12.75" customHeight="1" x14ac:dyDescent="0.35">
      <c r="A239" s="6" t="s">
        <v>52</v>
      </c>
      <c r="B239" s="6" t="s">
        <v>53</v>
      </c>
      <c r="C239" s="7">
        <v>2022</v>
      </c>
      <c r="D239" s="8">
        <v>25</v>
      </c>
      <c r="E239" s="9">
        <v>1.0229999999999999</v>
      </c>
      <c r="F239" s="9">
        <v>30.507999999999999</v>
      </c>
      <c r="G239" s="17">
        <v>1</v>
      </c>
      <c r="H239" s="9">
        <v>0.66669999999999996</v>
      </c>
      <c r="I239" s="9">
        <v>0.61599999999999999</v>
      </c>
      <c r="J239" s="9">
        <v>2.84</v>
      </c>
      <c r="K239" s="9">
        <v>1.2470000000000001</v>
      </c>
      <c r="L239" s="9">
        <v>2.5859999999999999</v>
      </c>
      <c r="M239" s="11">
        <v>3.6351599999999999</v>
      </c>
      <c r="N239" s="11">
        <v>40.830289999999998</v>
      </c>
      <c r="O239" s="11">
        <v>0.97550999999999999</v>
      </c>
      <c r="P239" s="11">
        <v>45.440950000000001</v>
      </c>
      <c r="Q239" s="7"/>
    </row>
    <row r="240" spans="1:17" ht="12.75" customHeight="1" x14ac:dyDescent="0.35">
      <c r="A240" s="6" t="s">
        <v>54</v>
      </c>
      <c r="B240" s="6" t="s">
        <v>55</v>
      </c>
      <c r="C240" s="7">
        <v>2012</v>
      </c>
      <c r="D240" s="8">
        <f t="shared" ref="D240:D245" si="41">D241-1</f>
        <v>16</v>
      </c>
      <c r="E240" s="9">
        <v>1.15648</v>
      </c>
      <c r="F240" s="9">
        <v>28.101700000000001</v>
      </c>
      <c r="G240" s="10">
        <v>0</v>
      </c>
      <c r="H240" s="9">
        <f t="shared" ref="H240:H243" si="42">H241</f>
        <v>0.66666666666666663</v>
      </c>
      <c r="I240" s="9">
        <v>0.25359999999999999</v>
      </c>
      <c r="J240" s="9">
        <v>6.4651199999999998</v>
      </c>
      <c r="K240" s="9">
        <v>0.54700000000000004</v>
      </c>
      <c r="L240" s="9">
        <v>0.50239999999999996</v>
      </c>
      <c r="M240" s="11">
        <v>0.41909999999999997</v>
      </c>
      <c r="N240" s="11">
        <v>17.321670000000001</v>
      </c>
      <c r="O240" s="11">
        <v>0.94227000000000005</v>
      </c>
      <c r="P240" s="11">
        <v>18.683029999999999</v>
      </c>
      <c r="Q240" s="7"/>
    </row>
    <row r="241" spans="1:17" ht="12.75" customHeight="1" x14ac:dyDescent="0.35">
      <c r="A241" s="6" t="s">
        <v>54</v>
      </c>
      <c r="B241" s="6" t="s">
        <v>55</v>
      </c>
      <c r="C241" s="7">
        <v>2013</v>
      </c>
      <c r="D241" s="8">
        <f t="shared" si="41"/>
        <v>17</v>
      </c>
      <c r="E241" s="9">
        <v>0.20868</v>
      </c>
      <c r="F241" s="9">
        <v>27.552600000000002</v>
      </c>
      <c r="G241" s="10">
        <v>0</v>
      </c>
      <c r="H241" s="9">
        <f t="shared" si="42"/>
        <v>0.66666666666666663</v>
      </c>
      <c r="I241" s="9">
        <v>-6.7400000000000002E-2</v>
      </c>
      <c r="J241" s="9">
        <v>3.7609300000000001</v>
      </c>
      <c r="K241" s="9">
        <v>-8.1500000000000003E-2</v>
      </c>
      <c r="L241" s="9">
        <v>0.31890000000000002</v>
      </c>
      <c r="M241" s="11">
        <v>0.47321999999999997</v>
      </c>
      <c r="N241" s="11">
        <v>19.4573</v>
      </c>
      <c r="O241" s="11">
        <v>0.94860999999999995</v>
      </c>
      <c r="P241" s="11">
        <v>20.87913</v>
      </c>
      <c r="Q241" s="7"/>
    </row>
    <row r="242" spans="1:17" ht="12.75" customHeight="1" x14ac:dyDescent="0.35">
      <c r="A242" s="6" t="s">
        <v>54</v>
      </c>
      <c r="B242" s="6" t="s">
        <v>55</v>
      </c>
      <c r="C242" s="7">
        <v>2014</v>
      </c>
      <c r="D242" s="8">
        <f t="shared" si="41"/>
        <v>18</v>
      </c>
      <c r="E242" s="9">
        <v>0.18156</v>
      </c>
      <c r="F242" s="9">
        <v>27.592500000000001</v>
      </c>
      <c r="G242" s="10">
        <v>0</v>
      </c>
      <c r="H242" s="9">
        <f t="shared" si="42"/>
        <v>0.66666666666666663</v>
      </c>
      <c r="I242" s="9">
        <v>-5.74E-2</v>
      </c>
      <c r="J242" s="9">
        <v>1.05525</v>
      </c>
      <c r="K242" s="9">
        <v>-6.7900000000000002E-2</v>
      </c>
      <c r="L242" s="9">
        <v>0.36799999999999999</v>
      </c>
      <c r="M242" s="11">
        <v>0.57759000000000005</v>
      </c>
      <c r="N242" s="11">
        <v>10.41778</v>
      </c>
      <c r="O242" s="11">
        <v>0.90400999999999998</v>
      </c>
      <c r="P242" s="11">
        <v>11.89939</v>
      </c>
      <c r="Q242" s="7"/>
    </row>
    <row r="243" spans="1:17" ht="12.75" customHeight="1" x14ac:dyDescent="0.35">
      <c r="A243" s="6" t="s">
        <v>54</v>
      </c>
      <c r="B243" s="6" t="s">
        <v>55</v>
      </c>
      <c r="C243" s="7">
        <v>2015</v>
      </c>
      <c r="D243" s="8">
        <f t="shared" si="41"/>
        <v>19</v>
      </c>
      <c r="E243" s="9">
        <v>0.14323</v>
      </c>
      <c r="F243" s="9">
        <v>27.414899999999999</v>
      </c>
      <c r="G243" s="10">
        <v>0</v>
      </c>
      <c r="H243" s="9">
        <f t="shared" si="42"/>
        <v>0.66666666666666663</v>
      </c>
      <c r="I243" s="9">
        <v>-0.26669999999999999</v>
      </c>
      <c r="J243" s="9">
        <v>0.90725999999999996</v>
      </c>
      <c r="K243" s="9">
        <v>-0.3049</v>
      </c>
      <c r="L243" s="9">
        <v>2.4299999999999999E-2</v>
      </c>
      <c r="M243" s="11">
        <v>0.32995999999999998</v>
      </c>
      <c r="N243" s="11">
        <v>11.415520000000001</v>
      </c>
      <c r="O243" s="11">
        <v>0.91239999999999999</v>
      </c>
      <c r="P243" s="11">
        <v>12.657870000000001</v>
      </c>
      <c r="Q243" s="7"/>
    </row>
    <row r="244" spans="1:17" ht="12.75" customHeight="1" x14ac:dyDescent="0.35">
      <c r="A244" s="6" t="s">
        <v>54</v>
      </c>
      <c r="B244" s="6" t="s">
        <v>55</v>
      </c>
      <c r="C244" s="7">
        <v>2016</v>
      </c>
      <c r="D244" s="8">
        <f t="shared" si="41"/>
        <v>20</v>
      </c>
      <c r="E244" s="9">
        <v>0.16223000000000001</v>
      </c>
      <c r="F244" s="9">
        <v>27.320799999999998</v>
      </c>
      <c r="G244" s="10">
        <v>0</v>
      </c>
      <c r="H244" s="9">
        <v>0.66666666666666663</v>
      </c>
      <c r="I244" s="9">
        <v>-9.4399999999999998E-2</v>
      </c>
      <c r="J244" s="9">
        <v>1.01915</v>
      </c>
      <c r="K244" s="9">
        <v>-0.10970000000000001</v>
      </c>
      <c r="L244" s="9">
        <v>4.5999999999999999E-3</v>
      </c>
      <c r="M244" s="11">
        <v>0.14566999999999999</v>
      </c>
      <c r="N244" s="11">
        <v>17.755780000000001</v>
      </c>
      <c r="O244" s="11">
        <v>0.94367999999999996</v>
      </c>
      <c r="P244" s="11">
        <v>18.845140000000001</v>
      </c>
      <c r="Q244" s="7"/>
    </row>
    <row r="245" spans="1:17" ht="12.75" customHeight="1" x14ac:dyDescent="0.35">
      <c r="A245" s="6" t="s">
        <v>54</v>
      </c>
      <c r="B245" s="6" t="s">
        <v>55</v>
      </c>
      <c r="C245" s="7">
        <v>2017</v>
      </c>
      <c r="D245" s="8">
        <f t="shared" si="41"/>
        <v>21</v>
      </c>
      <c r="E245" s="9">
        <v>0.25311</v>
      </c>
      <c r="F245" s="9">
        <v>27.414899999999999</v>
      </c>
      <c r="G245" s="10">
        <v>0</v>
      </c>
      <c r="H245" s="9">
        <v>0.66666666666666663</v>
      </c>
      <c r="I245" s="9">
        <v>5.9999999999999995E-4</v>
      </c>
      <c r="J245" s="9">
        <v>0.72641999999999995</v>
      </c>
      <c r="K245" s="9">
        <v>6.9999999999999999E-4</v>
      </c>
      <c r="L245" s="9">
        <v>0.15659999999999999</v>
      </c>
      <c r="M245" s="11">
        <v>0.21948000000000001</v>
      </c>
      <c r="N245" s="11">
        <v>10.72606</v>
      </c>
      <c r="O245" s="11">
        <v>0.90676999999999996</v>
      </c>
      <c r="P245" s="11">
        <v>11.8523</v>
      </c>
      <c r="Q245" s="7"/>
    </row>
    <row r="246" spans="1:17" ht="12.75" customHeight="1" x14ac:dyDescent="0.35">
      <c r="A246" s="6" t="s">
        <v>54</v>
      </c>
      <c r="B246" s="6" t="s">
        <v>55</v>
      </c>
      <c r="C246" s="7">
        <v>2018</v>
      </c>
      <c r="D246" s="8">
        <v>22</v>
      </c>
      <c r="E246" s="9">
        <v>0.22700000000000001</v>
      </c>
      <c r="F246" s="9">
        <v>27.478000000000002</v>
      </c>
      <c r="G246" s="17">
        <v>0</v>
      </c>
      <c r="H246" s="9">
        <v>0.66669999999999996</v>
      </c>
      <c r="I246" s="9">
        <v>0.04</v>
      </c>
      <c r="J246" s="9">
        <v>0.89</v>
      </c>
      <c r="K246" s="9">
        <v>4.9000000000000002E-2</v>
      </c>
      <c r="L246" s="9">
        <v>0.58199999999999996</v>
      </c>
      <c r="M246" s="11">
        <v>0.69308999999999998</v>
      </c>
      <c r="N246" s="11">
        <v>31.749040000000001</v>
      </c>
      <c r="O246" s="11">
        <v>0.96850000000000003</v>
      </c>
      <c r="P246" s="11">
        <v>33.410629999999998</v>
      </c>
      <c r="Q246" s="7"/>
    </row>
    <row r="247" spans="1:17" ht="12.75" customHeight="1" x14ac:dyDescent="0.35">
      <c r="A247" s="6" t="s">
        <v>54</v>
      </c>
      <c r="B247" s="6" t="s">
        <v>55</v>
      </c>
      <c r="C247" s="7">
        <v>2019</v>
      </c>
      <c r="D247" s="8">
        <v>23</v>
      </c>
      <c r="E247" s="9">
        <v>0.29399999999999998</v>
      </c>
      <c r="F247" s="9">
        <v>27.363479999999999</v>
      </c>
      <c r="G247" s="12">
        <v>0</v>
      </c>
      <c r="H247" s="9">
        <v>0.66669999999999996</v>
      </c>
      <c r="I247" s="9">
        <v>-7.2929999999999995E-2</v>
      </c>
      <c r="J247" s="9">
        <v>0.73399999999999999</v>
      </c>
      <c r="K247" s="9">
        <v>-9.438762268281467E-2</v>
      </c>
      <c r="L247" s="9">
        <v>0.27967747079491045</v>
      </c>
      <c r="M247" s="11">
        <v>0.37296826370076314</v>
      </c>
      <c r="N247" s="11">
        <v>29.577209958494091</v>
      </c>
      <c r="O247" s="11">
        <v>0.9661901848956238</v>
      </c>
      <c r="P247" s="11">
        <v>30.916368407090477</v>
      </c>
      <c r="Q247" s="7"/>
    </row>
    <row r="248" spans="1:17" ht="12.75" customHeight="1" x14ac:dyDescent="0.35">
      <c r="A248" s="6" t="s">
        <v>54</v>
      </c>
      <c r="B248" s="6" t="s">
        <v>55</v>
      </c>
      <c r="C248" s="7">
        <v>2020</v>
      </c>
      <c r="D248" s="8">
        <v>24</v>
      </c>
      <c r="E248" s="9">
        <v>0.34200000000000003</v>
      </c>
      <c r="F248" s="9">
        <v>27.396999999999998</v>
      </c>
      <c r="G248" s="17">
        <v>0</v>
      </c>
      <c r="H248" s="9">
        <v>0</v>
      </c>
      <c r="I248" s="9">
        <v>-2.1999999999999999E-2</v>
      </c>
      <c r="J248" s="9">
        <v>0.49199999999999999</v>
      </c>
      <c r="K248" s="9">
        <v>-2.9000000000000001E-2</v>
      </c>
      <c r="L248" s="9">
        <v>0</v>
      </c>
      <c r="M248" s="11">
        <v>4.7129999999999998E-2</v>
      </c>
      <c r="N248" s="11">
        <v>2.80884</v>
      </c>
      <c r="O248" s="11">
        <v>0.64398</v>
      </c>
      <c r="P248" s="11">
        <v>3.4999500000000001</v>
      </c>
      <c r="Q248" s="7"/>
    </row>
    <row r="249" spans="1:17" ht="12.75" customHeight="1" x14ac:dyDescent="0.35">
      <c r="A249" s="6" t="s">
        <v>54</v>
      </c>
      <c r="B249" s="6" t="s">
        <v>55</v>
      </c>
      <c r="C249" s="7">
        <v>2021</v>
      </c>
      <c r="D249" s="8">
        <v>25</v>
      </c>
      <c r="E249" s="9">
        <v>0.38600000000000001</v>
      </c>
      <c r="F249" s="9">
        <v>27.425889999999999</v>
      </c>
      <c r="G249" s="12">
        <v>0</v>
      </c>
      <c r="H249" s="9">
        <v>0</v>
      </c>
      <c r="I249" s="9">
        <v>-3.7499999999999999E-3</v>
      </c>
      <c r="J249" s="9">
        <v>0.499</v>
      </c>
      <c r="K249" s="9">
        <v>-5.1986035165311117E-3</v>
      </c>
      <c r="L249" s="9">
        <v>7.3178473797988586E-2</v>
      </c>
      <c r="M249" s="11">
        <v>9.6093307472766717E-2</v>
      </c>
      <c r="N249" s="11">
        <v>6.322548952714361</v>
      </c>
      <c r="O249" s="11">
        <v>0.841835941883742</v>
      </c>
      <c r="P249" s="11">
        <v>7.2604782020708702</v>
      </c>
      <c r="Q249" s="7"/>
    </row>
    <row r="250" spans="1:17" ht="12.75" customHeight="1" x14ac:dyDescent="0.35">
      <c r="A250" s="6" t="s">
        <v>56</v>
      </c>
      <c r="B250" s="6" t="s">
        <v>57</v>
      </c>
      <c r="C250" s="7">
        <v>2021</v>
      </c>
      <c r="D250" s="8">
        <v>9</v>
      </c>
      <c r="E250" s="9">
        <v>1.6779999999999999</v>
      </c>
      <c r="F250" s="9">
        <v>28.239000000000001</v>
      </c>
      <c r="G250" s="17">
        <v>1</v>
      </c>
      <c r="H250" s="9">
        <v>0.66669999999999996</v>
      </c>
      <c r="I250" s="9">
        <v>-0.126</v>
      </c>
      <c r="J250" s="9">
        <v>1.204</v>
      </c>
      <c r="K250" s="9">
        <v>-0.33700000000000002</v>
      </c>
      <c r="L250" s="9">
        <v>0.23899999999999999</v>
      </c>
      <c r="M250" s="11">
        <v>0.89712000000000003</v>
      </c>
      <c r="N250" s="11">
        <v>25.461549999999999</v>
      </c>
      <c r="O250" s="11">
        <v>0.96072999999999997</v>
      </c>
      <c r="P250" s="11">
        <v>27.319389999999999</v>
      </c>
      <c r="Q250" s="7"/>
    </row>
    <row r="251" spans="1:17" ht="12.75" customHeight="1" x14ac:dyDescent="0.35">
      <c r="A251" s="6" t="s">
        <v>56</v>
      </c>
      <c r="B251" s="6" t="s">
        <v>57</v>
      </c>
      <c r="C251" s="7">
        <v>2022</v>
      </c>
      <c r="D251" s="8">
        <v>10</v>
      </c>
      <c r="E251" s="9">
        <v>1.173</v>
      </c>
      <c r="F251" s="9">
        <v>28.297999999999998</v>
      </c>
      <c r="G251" s="17">
        <v>1</v>
      </c>
      <c r="H251" s="9">
        <v>0.66669999999999996</v>
      </c>
      <c r="I251" s="9">
        <v>4.1000000000000002E-2</v>
      </c>
      <c r="J251" s="9">
        <v>0.97</v>
      </c>
      <c r="K251" s="9">
        <v>0.09</v>
      </c>
      <c r="L251" s="9">
        <v>0.33300000000000002</v>
      </c>
      <c r="M251" s="11">
        <v>0.65244999999999997</v>
      </c>
      <c r="N251" s="11">
        <v>5.8079400000000003</v>
      </c>
      <c r="O251" s="11">
        <v>0.82782</v>
      </c>
      <c r="P251" s="11">
        <v>7.2882100000000003</v>
      </c>
      <c r="Q251" s="7"/>
    </row>
    <row r="252" spans="1:17" ht="12.75" customHeight="1" x14ac:dyDescent="0.35">
      <c r="A252" s="6" t="s">
        <v>58</v>
      </c>
      <c r="B252" s="6" t="s">
        <v>59</v>
      </c>
      <c r="C252" s="7">
        <v>2013</v>
      </c>
      <c r="D252" s="8">
        <f t="shared" ref="D252:D254" si="43">D253-1</f>
        <v>23</v>
      </c>
      <c r="E252" s="9">
        <v>8.9199400000000004</v>
      </c>
      <c r="F252" s="9">
        <v>28.105499999999999</v>
      </c>
      <c r="G252" s="10">
        <v>1</v>
      </c>
      <c r="H252" s="9">
        <f t="shared" ref="H252:H253" si="44">H253</f>
        <v>0</v>
      </c>
      <c r="I252" s="9">
        <v>1.9400000000000001E-2</v>
      </c>
      <c r="J252" s="9">
        <v>1.75095</v>
      </c>
      <c r="K252" s="9">
        <v>0.1928</v>
      </c>
      <c r="L252" s="9">
        <v>0.3977</v>
      </c>
      <c r="M252" s="11">
        <v>3.5144199999999999</v>
      </c>
      <c r="N252" s="11">
        <v>15.1662</v>
      </c>
      <c r="O252" s="11">
        <v>0.93406</v>
      </c>
      <c r="P252" s="11">
        <v>19.61468</v>
      </c>
      <c r="Q252" s="7"/>
    </row>
    <row r="253" spans="1:17" ht="12.75" customHeight="1" x14ac:dyDescent="0.35">
      <c r="A253" s="6" t="s">
        <v>58</v>
      </c>
      <c r="B253" s="6" t="s">
        <v>59</v>
      </c>
      <c r="C253" s="7">
        <v>2014</v>
      </c>
      <c r="D253" s="8">
        <f t="shared" si="43"/>
        <v>24</v>
      </c>
      <c r="E253" s="9">
        <v>6.1233599999999999</v>
      </c>
      <c r="F253" s="9">
        <v>28.0977</v>
      </c>
      <c r="G253" s="10">
        <v>1</v>
      </c>
      <c r="H253" s="9">
        <f t="shared" si="44"/>
        <v>0</v>
      </c>
      <c r="I253" s="9">
        <v>1.0500000000000001E-2</v>
      </c>
      <c r="J253" s="9">
        <v>3.9900099999999998</v>
      </c>
      <c r="K253" s="9">
        <v>7.4700000000000003E-2</v>
      </c>
      <c r="L253" s="9">
        <v>0.49609999999999999</v>
      </c>
      <c r="M253" s="11">
        <v>3.0712000000000002</v>
      </c>
      <c r="N253" s="11">
        <v>16.910019999999999</v>
      </c>
      <c r="O253" s="11">
        <v>0.94086000000000003</v>
      </c>
      <c r="P253" s="11">
        <v>20.922090000000001</v>
      </c>
      <c r="Q253" s="7"/>
    </row>
    <row r="254" spans="1:17" ht="12.75" customHeight="1" x14ac:dyDescent="0.35">
      <c r="A254" s="6" t="s">
        <v>58</v>
      </c>
      <c r="B254" s="6" t="s">
        <v>59</v>
      </c>
      <c r="C254" s="7">
        <v>2017</v>
      </c>
      <c r="D254" s="8">
        <f t="shared" si="43"/>
        <v>25</v>
      </c>
      <c r="E254" s="9">
        <v>3.22879</v>
      </c>
      <c r="F254" s="9">
        <v>28.497499999999999</v>
      </c>
      <c r="G254" s="10">
        <v>1</v>
      </c>
      <c r="H254" s="9">
        <v>0</v>
      </c>
      <c r="I254" s="9">
        <v>3.9899999999999998E-2</v>
      </c>
      <c r="J254" s="9">
        <v>2.9430000000000001</v>
      </c>
      <c r="K254" s="9">
        <v>0.16869999999999999</v>
      </c>
      <c r="L254" s="9">
        <v>0.38569999999999999</v>
      </c>
      <c r="M254" s="11">
        <v>1.4346399999999999</v>
      </c>
      <c r="N254" s="11">
        <v>4.3964699999999999</v>
      </c>
      <c r="O254" s="11">
        <v>0.77254</v>
      </c>
      <c r="P254" s="11">
        <v>6.60365</v>
      </c>
      <c r="Q254" s="7"/>
    </row>
    <row r="255" spans="1:17" ht="12.75" customHeight="1" x14ac:dyDescent="0.35">
      <c r="A255" s="6" t="s">
        <v>58</v>
      </c>
      <c r="B255" s="6" t="s">
        <v>59</v>
      </c>
      <c r="C255" s="7">
        <v>2018</v>
      </c>
      <c r="D255" s="8">
        <v>26</v>
      </c>
      <c r="E255" s="9">
        <v>2.6989999999999998</v>
      </c>
      <c r="F255" s="9">
        <v>28.699000000000002</v>
      </c>
      <c r="G255" s="17">
        <v>0</v>
      </c>
      <c r="H255" s="9">
        <v>0.66669999999999996</v>
      </c>
      <c r="I255" s="9">
        <v>6.0999999999999999E-2</v>
      </c>
      <c r="J255" s="9">
        <v>2.4689999999999999</v>
      </c>
      <c r="K255" s="9">
        <v>0.22600000000000001</v>
      </c>
      <c r="L255" s="9">
        <v>0.41499999999999998</v>
      </c>
      <c r="M255" s="11">
        <v>1.1652499999999999</v>
      </c>
      <c r="N255" s="11">
        <v>14.40649</v>
      </c>
      <c r="O255" s="11">
        <v>0.93059000000000003</v>
      </c>
      <c r="P255" s="11">
        <v>16.502330000000001</v>
      </c>
      <c r="Q255" s="7"/>
    </row>
    <row r="256" spans="1:17" ht="12.75" customHeight="1" x14ac:dyDescent="0.35">
      <c r="A256" s="6" t="s">
        <v>58</v>
      </c>
      <c r="B256" s="6" t="s">
        <v>59</v>
      </c>
      <c r="C256" s="7">
        <v>2019</v>
      </c>
      <c r="D256" s="8">
        <v>27</v>
      </c>
      <c r="E256" s="9">
        <v>2.2389999999999999</v>
      </c>
      <c r="F256" s="9">
        <v>28.672999999999998</v>
      </c>
      <c r="G256" s="17">
        <v>1</v>
      </c>
      <c r="H256" s="9">
        <v>0.66669999999999996</v>
      </c>
      <c r="I256" s="9">
        <v>6.4000000000000001E-2</v>
      </c>
      <c r="J256" s="9">
        <v>2.508</v>
      </c>
      <c r="K256" s="9">
        <v>0.20899999999999999</v>
      </c>
      <c r="L256" s="9">
        <v>0.42299999999999999</v>
      </c>
      <c r="M256" s="11">
        <v>1.07622</v>
      </c>
      <c r="N256" s="11">
        <v>12.928900000000001</v>
      </c>
      <c r="O256" s="11">
        <v>0.92264999999999997</v>
      </c>
      <c r="P256" s="11">
        <v>14.92778</v>
      </c>
      <c r="Q256" s="7"/>
    </row>
    <row r="257" spans="1:17" ht="12.75" customHeight="1" x14ac:dyDescent="0.35">
      <c r="A257" s="6" t="s">
        <v>58</v>
      </c>
      <c r="B257" s="6" t="s">
        <v>59</v>
      </c>
      <c r="C257" s="7">
        <v>2020</v>
      </c>
      <c r="D257" s="8">
        <v>28</v>
      </c>
      <c r="E257" s="9">
        <v>2.2789999999999999</v>
      </c>
      <c r="F257" s="9">
        <v>28.777000000000001</v>
      </c>
      <c r="G257" s="17">
        <v>1</v>
      </c>
      <c r="H257" s="9">
        <v>0.66669999999999996</v>
      </c>
      <c r="I257" s="9">
        <v>3.3000000000000002E-2</v>
      </c>
      <c r="J257" s="9">
        <v>1.792</v>
      </c>
      <c r="K257" s="9">
        <v>0.108</v>
      </c>
      <c r="L257" s="9">
        <v>0.40500000000000003</v>
      </c>
      <c r="M257" s="11">
        <v>1.0884400000000001</v>
      </c>
      <c r="N257" s="11">
        <v>15.610480000000001</v>
      </c>
      <c r="O257" s="11">
        <v>0.93593999999999999</v>
      </c>
      <c r="P257" s="11">
        <v>17.63486</v>
      </c>
      <c r="Q257" s="7"/>
    </row>
    <row r="258" spans="1:17" ht="12.75" customHeight="1" x14ac:dyDescent="0.35">
      <c r="A258" s="6" t="s">
        <v>58</v>
      </c>
      <c r="B258" s="6" t="s">
        <v>59</v>
      </c>
      <c r="C258" s="7">
        <v>2021</v>
      </c>
      <c r="D258" s="8">
        <v>29</v>
      </c>
      <c r="E258" s="9">
        <v>2.5190000000000001</v>
      </c>
      <c r="F258" s="9">
        <v>28.791</v>
      </c>
      <c r="G258" s="17">
        <v>1</v>
      </c>
      <c r="H258" s="9">
        <v>0.66669999999999996</v>
      </c>
      <c r="I258" s="9">
        <v>-5.8000000000000003E-2</v>
      </c>
      <c r="J258" s="9">
        <v>1.571</v>
      </c>
      <c r="K258" s="9">
        <v>-0.20300000000000001</v>
      </c>
      <c r="L258" s="9">
        <v>0.38</v>
      </c>
      <c r="M258" s="11">
        <v>1.3903399999999999</v>
      </c>
      <c r="N258" s="11">
        <v>17.750990000000002</v>
      </c>
      <c r="O258" s="11">
        <v>0.94367000000000001</v>
      </c>
      <c r="P258" s="11">
        <v>20.085000000000001</v>
      </c>
      <c r="Q258" s="7"/>
    </row>
    <row r="259" spans="1:17" ht="12.75" customHeight="1" x14ac:dyDescent="0.35">
      <c r="A259" s="6" t="s">
        <v>58</v>
      </c>
      <c r="B259" s="6" t="s">
        <v>59</v>
      </c>
      <c r="C259" s="7">
        <v>2022</v>
      </c>
      <c r="D259" s="8">
        <v>30</v>
      </c>
      <c r="E259" s="9">
        <v>1.8819999999999999</v>
      </c>
      <c r="F259" s="9">
        <v>28.917000000000002</v>
      </c>
      <c r="G259" s="17">
        <v>1</v>
      </c>
      <c r="H259" s="9">
        <v>0.66669999999999996</v>
      </c>
      <c r="I259" s="9">
        <v>4.9000000000000002E-2</v>
      </c>
      <c r="J259" s="9">
        <v>1.3720000000000001</v>
      </c>
      <c r="K259" s="9">
        <v>0.14099999999999999</v>
      </c>
      <c r="L259" s="9">
        <v>0.48799999999999999</v>
      </c>
      <c r="M259" s="11">
        <v>1.1488100000000001</v>
      </c>
      <c r="N259" s="11">
        <v>17.398669999999999</v>
      </c>
      <c r="O259" s="11">
        <v>0.94252000000000002</v>
      </c>
      <c r="P259" s="11">
        <v>19.489999999999998</v>
      </c>
      <c r="Q259" s="7"/>
    </row>
    <row r="260" spans="1:17" ht="12.75" customHeight="1" x14ac:dyDescent="0.35">
      <c r="A260" s="6" t="s">
        <v>60</v>
      </c>
      <c r="B260" s="6" t="s">
        <v>61</v>
      </c>
      <c r="C260" s="7">
        <v>2012</v>
      </c>
      <c r="D260" s="8">
        <f t="shared" ref="D260:D265" si="45">D261-1</f>
        <v>17</v>
      </c>
      <c r="E260" s="9">
        <v>0.25663000000000002</v>
      </c>
      <c r="F260" s="9">
        <v>29.250900000000001</v>
      </c>
      <c r="G260" s="10">
        <v>1</v>
      </c>
      <c r="H260" s="9">
        <f t="shared" ref="H260:H263" si="46">H261</f>
        <v>0.66666666666666663</v>
      </c>
      <c r="I260" s="9">
        <v>0.24440000000000001</v>
      </c>
      <c r="J260" s="9">
        <v>3.3290600000000001</v>
      </c>
      <c r="K260" s="9">
        <v>0.30709999999999998</v>
      </c>
      <c r="L260" s="9">
        <v>1.9369000000000001</v>
      </c>
      <c r="M260" s="11">
        <v>2.0296099999999999</v>
      </c>
      <c r="N260" s="11">
        <v>23.067509999999999</v>
      </c>
      <c r="O260" s="11">
        <v>0.95665</v>
      </c>
      <c r="P260" s="11">
        <v>26.05377</v>
      </c>
      <c r="Q260" s="7"/>
    </row>
    <row r="261" spans="1:17" ht="12.75" customHeight="1" x14ac:dyDescent="0.35">
      <c r="A261" s="6" t="s">
        <v>60</v>
      </c>
      <c r="B261" s="6" t="s">
        <v>61</v>
      </c>
      <c r="C261" s="7">
        <v>2013</v>
      </c>
      <c r="D261" s="8">
        <f t="shared" si="45"/>
        <v>18</v>
      </c>
      <c r="E261" s="9">
        <v>0.22009000000000001</v>
      </c>
      <c r="F261" s="9">
        <v>29.232900000000001</v>
      </c>
      <c r="G261" s="10">
        <v>1</v>
      </c>
      <c r="H261" s="9">
        <f t="shared" si="46"/>
        <v>0.66666666666666663</v>
      </c>
      <c r="I261" s="9">
        <v>8.5300000000000001E-2</v>
      </c>
      <c r="J261" s="9">
        <v>1.4635100000000001</v>
      </c>
      <c r="K261" s="9">
        <v>0.1041</v>
      </c>
      <c r="L261" s="9">
        <v>1.7630999999999999</v>
      </c>
      <c r="M261" s="11">
        <v>2.0279600000000002</v>
      </c>
      <c r="N261" s="11">
        <v>45.079120000000003</v>
      </c>
      <c r="O261" s="11">
        <v>0.97782000000000002</v>
      </c>
      <c r="P261" s="11">
        <v>48.084890000000001</v>
      </c>
      <c r="Q261" s="7"/>
    </row>
    <row r="262" spans="1:17" ht="12.75" customHeight="1" x14ac:dyDescent="0.35">
      <c r="A262" s="6" t="s">
        <v>60</v>
      </c>
      <c r="B262" s="6" t="s">
        <v>61</v>
      </c>
      <c r="C262" s="7">
        <v>2014</v>
      </c>
      <c r="D262" s="8">
        <f t="shared" si="45"/>
        <v>19</v>
      </c>
      <c r="E262" s="9">
        <v>0.22871</v>
      </c>
      <c r="F262" s="9">
        <v>29.2944</v>
      </c>
      <c r="G262" s="10">
        <v>1</v>
      </c>
      <c r="H262" s="9">
        <f t="shared" si="46"/>
        <v>0.66666666666666663</v>
      </c>
      <c r="I262" s="9">
        <v>1E-3</v>
      </c>
      <c r="J262" s="9">
        <v>0.99819000000000002</v>
      </c>
      <c r="K262" s="9">
        <v>1.1999999999999999E-3</v>
      </c>
      <c r="L262" s="9">
        <v>1.0750999999999999</v>
      </c>
      <c r="M262" s="11">
        <v>1.3078399999999999</v>
      </c>
      <c r="N262" s="11">
        <v>32.229619999999997</v>
      </c>
      <c r="O262" s="11">
        <v>0.96897</v>
      </c>
      <c r="P262" s="11">
        <v>34.506439999999998</v>
      </c>
      <c r="Q262" s="7"/>
    </row>
    <row r="263" spans="1:17" ht="12.75" customHeight="1" x14ac:dyDescent="0.35">
      <c r="A263" s="6" t="s">
        <v>60</v>
      </c>
      <c r="B263" s="6" t="s">
        <v>61</v>
      </c>
      <c r="C263" s="7">
        <v>2015</v>
      </c>
      <c r="D263" s="8">
        <f t="shared" si="45"/>
        <v>20</v>
      </c>
      <c r="E263" s="9">
        <v>0.10839</v>
      </c>
      <c r="F263" s="9">
        <v>29.259799999999998</v>
      </c>
      <c r="G263" s="10">
        <v>1</v>
      </c>
      <c r="H263" s="9">
        <f t="shared" si="46"/>
        <v>0.66666666666666663</v>
      </c>
      <c r="I263" s="9">
        <v>-5.0599999999999999E-2</v>
      </c>
      <c r="J263" s="9">
        <v>0.44518000000000002</v>
      </c>
      <c r="K263" s="9">
        <v>-5.6000000000000001E-2</v>
      </c>
      <c r="L263" s="9">
        <v>0.65500000000000003</v>
      </c>
      <c r="M263" s="11">
        <v>0.76293</v>
      </c>
      <c r="N263" s="11">
        <v>22.034649999999999</v>
      </c>
      <c r="O263" s="11">
        <v>0.95462000000000002</v>
      </c>
      <c r="P263" s="11">
        <v>23.752199999999998</v>
      </c>
      <c r="Q263" s="7"/>
    </row>
    <row r="264" spans="1:17" ht="12.75" customHeight="1" x14ac:dyDescent="0.35">
      <c r="A264" s="6" t="s">
        <v>60</v>
      </c>
      <c r="B264" s="6" t="s">
        <v>61</v>
      </c>
      <c r="C264" s="7">
        <v>2016</v>
      </c>
      <c r="D264" s="8">
        <f t="shared" si="45"/>
        <v>21</v>
      </c>
      <c r="E264" s="9">
        <v>0.16300000000000001</v>
      </c>
      <c r="F264" s="9">
        <v>29.335899999999999</v>
      </c>
      <c r="G264" s="10">
        <v>1</v>
      </c>
      <c r="H264" s="9">
        <v>0.66666666666666663</v>
      </c>
      <c r="I264" s="9">
        <v>3.2300000000000002E-2</v>
      </c>
      <c r="J264" s="9">
        <v>1.1821200000000001</v>
      </c>
      <c r="K264" s="9">
        <v>3.7600000000000001E-2</v>
      </c>
      <c r="L264" s="9">
        <v>0.52529999999999999</v>
      </c>
      <c r="M264" s="11">
        <v>0.56201000000000001</v>
      </c>
      <c r="N264" s="11">
        <v>17.580970000000001</v>
      </c>
      <c r="O264" s="11">
        <v>0.94311999999999996</v>
      </c>
      <c r="P264" s="11">
        <v>19.086099999999998</v>
      </c>
      <c r="Q264" s="7"/>
    </row>
    <row r="265" spans="1:17" ht="12.75" customHeight="1" x14ac:dyDescent="0.35">
      <c r="A265" s="6" t="s">
        <v>60</v>
      </c>
      <c r="B265" s="6" t="s">
        <v>61</v>
      </c>
      <c r="C265" s="7">
        <v>2017</v>
      </c>
      <c r="D265" s="8">
        <f t="shared" si="45"/>
        <v>22</v>
      </c>
      <c r="E265" s="9">
        <v>0.16062000000000001</v>
      </c>
      <c r="F265" s="9">
        <v>29.459499999999998</v>
      </c>
      <c r="G265" s="10">
        <v>1</v>
      </c>
      <c r="H265" s="9">
        <v>0.66666666666666663</v>
      </c>
      <c r="I265" s="9">
        <v>9.8599999999999993E-2</v>
      </c>
      <c r="J265" s="9">
        <v>1.0287999999999999</v>
      </c>
      <c r="K265" s="9">
        <v>0.1144</v>
      </c>
      <c r="L265" s="9">
        <v>0.7087</v>
      </c>
      <c r="M265" s="11">
        <v>0.67452999999999996</v>
      </c>
      <c r="N265" s="11">
        <v>24.160509999999999</v>
      </c>
      <c r="O265" s="11">
        <v>0.95860999999999996</v>
      </c>
      <c r="P265" s="11">
        <v>25.793659999999999</v>
      </c>
      <c r="Q265" s="7"/>
    </row>
    <row r="266" spans="1:17" ht="12.75" customHeight="1" x14ac:dyDescent="0.35">
      <c r="A266" s="6" t="s">
        <v>60</v>
      </c>
      <c r="B266" s="6" t="s">
        <v>61</v>
      </c>
      <c r="C266" s="7">
        <v>2018</v>
      </c>
      <c r="D266" s="8">
        <v>23</v>
      </c>
      <c r="E266" s="9">
        <v>0.20499999999999999</v>
      </c>
      <c r="F266" s="9">
        <v>29.562999999999999</v>
      </c>
      <c r="G266" s="17">
        <v>0</v>
      </c>
      <c r="H266" s="9">
        <v>0.33329999999999999</v>
      </c>
      <c r="I266" s="9">
        <v>6.8000000000000005E-2</v>
      </c>
      <c r="J266" s="9">
        <v>0.72799999999999998</v>
      </c>
      <c r="K266" s="9">
        <v>8.2000000000000003E-2</v>
      </c>
      <c r="L266" s="9">
        <v>0.71899999999999997</v>
      </c>
      <c r="M266" s="11">
        <v>0.78552999999999995</v>
      </c>
      <c r="N266" s="11">
        <v>17.801380000000002</v>
      </c>
      <c r="O266" s="11">
        <v>0.94381999999999999</v>
      </c>
      <c r="P266" s="11">
        <v>19.530729999999998</v>
      </c>
      <c r="Q266" s="7"/>
    </row>
    <row r="267" spans="1:17" ht="12.75" customHeight="1" x14ac:dyDescent="0.35">
      <c r="A267" s="6" t="s">
        <v>60</v>
      </c>
      <c r="B267" s="6" t="s">
        <v>61</v>
      </c>
      <c r="C267" s="7">
        <v>2019</v>
      </c>
      <c r="D267" s="8">
        <v>24</v>
      </c>
      <c r="E267" s="9">
        <v>0.11899999999999999</v>
      </c>
      <c r="F267" s="9">
        <v>29.457999999999998</v>
      </c>
      <c r="G267" s="17">
        <v>1</v>
      </c>
      <c r="H267" s="9">
        <v>0.33329999999999999</v>
      </c>
      <c r="I267" s="9">
        <v>4.4999999999999998E-2</v>
      </c>
      <c r="J267" s="9">
        <v>0.68</v>
      </c>
      <c r="K267" s="9">
        <v>0.05</v>
      </c>
      <c r="L267" s="9">
        <v>0.58699999999999997</v>
      </c>
      <c r="M267" s="11">
        <v>0.64949999999999997</v>
      </c>
      <c r="N267" s="11">
        <v>15.949400000000001</v>
      </c>
      <c r="O267" s="11">
        <v>0.93730000000000002</v>
      </c>
      <c r="P267" s="11">
        <v>17.536200000000001</v>
      </c>
      <c r="Q267" s="7"/>
    </row>
    <row r="268" spans="1:17" ht="12.75" customHeight="1" x14ac:dyDescent="0.35">
      <c r="A268" s="6" t="s">
        <v>60</v>
      </c>
      <c r="B268" s="6" t="s">
        <v>61</v>
      </c>
      <c r="C268" s="7">
        <v>2020</v>
      </c>
      <c r="D268" s="8">
        <v>25</v>
      </c>
      <c r="E268" s="9">
        <v>9.7000000000000003E-2</v>
      </c>
      <c r="F268" s="9">
        <v>29.582000000000001</v>
      </c>
      <c r="G268" s="17">
        <v>1</v>
      </c>
      <c r="H268" s="9">
        <v>0.33329999999999999</v>
      </c>
      <c r="I268" s="9">
        <v>0.121</v>
      </c>
      <c r="J268" s="9">
        <v>1.2330000000000001</v>
      </c>
      <c r="K268" s="9">
        <v>0.13300000000000001</v>
      </c>
      <c r="L268" s="9">
        <v>0.316</v>
      </c>
      <c r="M268" s="11">
        <v>0.36243999999999998</v>
      </c>
      <c r="N268" s="11">
        <v>10.707240000000001</v>
      </c>
      <c r="O268" s="11">
        <v>0.90661000000000003</v>
      </c>
      <c r="P268" s="11">
        <v>11.976290000000001</v>
      </c>
      <c r="Q268" s="7"/>
    </row>
    <row r="269" spans="1:17" ht="12.75" customHeight="1" x14ac:dyDescent="0.35">
      <c r="A269" s="6" t="s">
        <v>60</v>
      </c>
      <c r="B269" s="6" t="s">
        <v>61</v>
      </c>
      <c r="C269" s="7">
        <v>2021</v>
      </c>
      <c r="D269" s="8">
        <v>26</v>
      </c>
      <c r="E269" s="9">
        <v>0.34399999999999997</v>
      </c>
      <c r="F269" s="9">
        <v>30.155000000000001</v>
      </c>
      <c r="G269" s="17">
        <v>1</v>
      </c>
      <c r="H269" s="9">
        <v>0.33329999999999999</v>
      </c>
      <c r="I269" s="9">
        <v>0.112</v>
      </c>
      <c r="J269" s="9">
        <v>2.4929999999999999</v>
      </c>
      <c r="K269" s="9">
        <v>0.151</v>
      </c>
      <c r="L269" s="9">
        <v>0.38400000000000001</v>
      </c>
      <c r="M269" s="11">
        <v>0.31879000000000002</v>
      </c>
      <c r="N269" s="11">
        <v>16.177230000000002</v>
      </c>
      <c r="O269" s="11">
        <v>0.93818000000000001</v>
      </c>
      <c r="P269" s="11">
        <v>17.434200000000001</v>
      </c>
      <c r="Q269" s="7"/>
    </row>
    <row r="270" spans="1:17" ht="12.75" customHeight="1" x14ac:dyDescent="0.35">
      <c r="A270" s="6" t="s">
        <v>60</v>
      </c>
      <c r="B270" s="6" t="s">
        <v>61</v>
      </c>
      <c r="C270" s="7">
        <v>2022</v>
      </c>
      <c r="D270" s="8">
        <v>27</v>
      </c>
      <c r="E270" s="9">
        <v>0.28899999999999998</v>
      </c>
      <c r="F270" s="9">
        <v>30.632999999999999</v>
      </c>
      <c r="G270" s="17">
        <v>1</v>
      </c>
      <c r="H270" s="9">
        <v>0.33329999999999999</v>
      </c>
      <c r="I270" s="9">
        <v>0.29699999999999999</v>
      </c>
      <c r="J270" s="9">
        <v>1.3129999999999999</v>
      </c>
      <c r="K270" s="9">
        <v>0.38300000000000001</v>
      </c>
      <c r="L270" s="9">
        <v>0.70699999999999996</v>
      </c>
      <c r="M270" s="11">
        <v>0.45785999999999999</v>
      </c>
      <c r="N270" s="11">
        <v>29.840319999999998</v>
      </c>
      <c r="O270" s="11">
        <v>0.96648999999999996</v>
      </c>
      <c r="P270" s="11">
        <v>31.264669999999999</v>
      </c>
      <c r="Q270" s="7"/>
    </row>
    <row r="271" spans="1:17" ht="12.75" customHeight="1" x14ac:dyDescent="0.35">
      <c r="A271" s="6" t="s">
        <v>62</v>
      </c>
      <c r="B271" s="6" t="s">
        <v>63</v>
      </c>
      <c r="C271" s="7">
        <v>2012</v>
      </c>
      <c r="D271" s="8">
        <f t="shared" ref="D271:D276" si="47">D272-1</f>
        <v>12</v>
      </c>
      <c r="E271" s="9">
        <v>1.9453499999999999</v>
      </c>
      <c r="F271" s="9">
        <v>30.722899999999999</v>
      </c>
      <c r="G271" s="10">
        <v>1</v>
      </c>
      <c r="H271" s="9">
        <f t="shared" ref="H271:H274" si="48">H272</f>
        <v>0.66666666666666663</v>
      </c>
      <c r="I271" s="9">
        <v>2.93E-2</v>
      </c>
      <c r="J271" s="9">
        <v>0.98751</v>
      </c>
      <c r="K271" s="9">
        <v>8.6199999999999999E-2</v>
      </c>
      <c r="L271" s="9">
        <v>0.31940000000000002</v>
      </c>
      <c r="M271" s="11">
        <v>0.87670999999999999</v>
      </c>
      <c r="N271" s="11">
        <v>3.4392999999999998</v>
      </c>
      <c r="O271" s="11">
        <v>0.70923999999999998</v>
      </c>
      <c r="P271" s="11">
        <v>5.0252600000000003</v>
      </c>
      <c r="Q271" s="7"/>
    </row>
    <row r="272" spans="1:17" ht="12.75" customHeight="1" x14ac:dyDescent="0.35">
      <c r="A272" s="6" t="s">
        <v>62</v>
      </c>
      <c r="B272" s="6" t="s">
        <v>63</v>
      </c>
      <c r="C272" s="7">
        <v>2013</v>
      </c>
      <c r="D272" s="8">
        <f t="shared" si="47"/>
        <v>13</v>
      </c>
      <c r="E272" s="9">
        <v>1.4385699999999999</v>
      </c>
      <c r="F272" s="9">
        <v>30.817699999999999</v>
      </c>
      <c r="G272" s="10">
        <v>1</v>
      </c>
      <c r="H272" s="9">
        <f t="shared" si="48"/>
        <v>0.66666666666666663</v>
      </c>
      <c r="I272" s="9">
        <v>-2.7E-2</v>
      </c>
      <c r="J272" s="9">
        <v>0.69860999999999995</v>
      </c>
      <c r="K272" s="9">
        <v>-6.5799999999999997E-2</v>
      </c>
      <c r="L272" s="9">
        <v>0.37269999999999998</v>
      </c>
      <c r="M272" s="11">
        <v>1.0637700000000001</v>
      </c>
      <c r="N272" s="11">
        <v>4.41615</v>
      </c>
      <c r="O272" s="11">
        <v>0.77356000000000003</v>
      </c>
      <c r="P272" s="11">
        <v>6.2534900000000002</v>
      </c>
      <c r="Q272" s="7"/>
    </row>
    <row r="273" spans="1:17" ht="12.75" customHeight="1" x14ac:dyDescent="0.35">
      <c r="A273" s="6" t="s">
        <v>62</v>
      </c>
      <c r="B273" s="6" t="s">
        <v>63</v>
      </c>
      <c r="C273" s="7">
        <v>2014</v>
      </c>
      <c r="D273" s="8">
        <f t="shared" si="47"/>
        <v>14</v>
      </c>
      <c r="E273" s="9">
        <v>1.50597</v>
      </c>
      <c r="F273" s="9">
        <v>30.9344</v>
      </c>
      <c r="G273" s="10">
        <v>1</v>
      </c>
      <c r="H273" s="9">
        <f t="shared" si="48"/>
        <v>0.66666666666666663</v>
      </c>
      <c r="I273" s="9">
        <v>-1.21E-2</v>
      </c>
      <c r="J273" s="9">
        <v>0.69440999999999997</v>
      </c>
      <c r="K273" s="9">
        <v>-3.0200000000000001E-2</v>
      </c>
      <c r="L273" s="9">
        <v>0.4844</v>
      </c>
      <c r="M273" s="11">
        <v>1.4188400000000001</v>
      </c>
      <c r="N273" s="11">
        <v>5.7210999999999999</v>
      </c>
      <c r="O273" s="11">
        <v>0.82521</v>
      </c>
      <c r="P273" s="11">
        <v>7.9651500000000004</v>
      </c>
      <c r="Q273" s="7"/>
    </row>
    <row r="274" spans="1:17" ht="12.75" customHeight="1" x14ac:dyDescent="0.35">
      <c r="A274" s="6" t="s">
        <v>62</v>
      </c>
      <c r="B274" s="6" t="s">
        <v>63</v>
      </c>
      <c r="C274" s="7">
        <v>2015</v>
      </c>
      <c r="D274" s="8">
        <f t="shared" si="47"/>
        <v>15</v>
      </c>
      <c r="E274" s="9">
        <v>1.58609</v>
      </c>
      <c r="F274" s="9">
        <v>30.991399999999999</v>
      </c>
      <c r="G274" s="10">
        <v>1</v>
      </c>
      <c r="H274" s="9">
        <f t="shared" si="48"/>
        <v>0.66666666666666663</v>
      </c>
      <c r="I274" s="9">
        <v>-2.07E-2</v>
      </c>
      <c r="J274" s="9">
        <v>0.63266999999999995</v>
      </c>
      <c r="K274" s="9">
        <v>-5.3600000000000002E-2</v>
      </c>
      <c r="L274" s="9">
        <v>0.51029999999999998</v>
      </c>
      <c r="M274" s="11">
        <v>1.51156</v>
      </c>
      <c r="N274" s="11">
        <v>6.55138</v>
      </c>
      <c r="O274" s="11">
        <v>0.84736</v>
      </c>
      <c r="P274" s="11">
        <v>8.9103100000000008</v>
      </c>
      <c r="Q274" s="7"/>
    </row>
    <row r="275" spans="1:17" ht="12.75" customHeight="1" x14ac:dyDescent="0.35">
      <c r="A275" s="6" t="s">
        <v>62</v>
      </c>
      <c r="B275" s="6" t="s">
        <v>63</v>
      </c>
      <c r="C275" s="7">
        <v>2016</v>
      </c>
      <c r="D275" s="8">
        <f t="shared" si="47"/>
        <v>16</v>
      </c>
      <c r="E275" s="9">
        <v>1.4589300000000001</v>
      </c>
      <c r="F275" s="9">
        <v>30.819500000000001</v>
      </c>
      <c r="G275" s="10">
        <v>1</v>
      </c>
      <c r="H275" s="9">
        <v>0.66666666666666663</v>
      </c>
      <c r="I275" s="9">
        <v>-3.7100000000000001E-2</v>
      </c>
      <c r="J275" s="9">
        <v>0.74328000000000005</v>
      </c>
      <c r="K275" s="9">
        <v>-9.1200000000000003E-2</v>
      </c>
      <c r="L275" s="9">
        <v>0.4254</v>
      </c>
      <c r="M275" s="11">
        <v>1.3604799999999999</v>
      </c>
      <c r="N275" s="11">
        <v>5.6183399999999999</v>
      </c>
      <c r="O275" s="11">
        <v>0.82201000000000002</v>
      </c>
      <c r="P275" s="11">
        <v>7.8008300000000004</v>
      </c>
      <c r="Q275" s="7"/>
    </row>
    <row r="276" spans="1:17" ht="12.75" customHeight="1" x14ac:dyDescent="0.35">
      <c r="A276" s="6" t="s">
        <v>62</v>
      </c>
      <c r="B276" s="6" t="s">
        <v>63</v>
      </c>
      <c r="C276" s="7">
        <v>2017</v>
      </c>
      <c r="D276" s="8">
        <f t="shared" si="47"/>
        <v>17</v>
      </c>
      <c r="E276" s="9">
        <v>2.2606600000000001</v>
      </c>
      <c r="F276" s="9">
        <v>31.528099999999998</v>
      </c>
      <c r="G276" s="10">
        <v>1</v>
      </c>
      <c r="H276" s="9">
        <v>0.66666666666666663</v>
      </c>
      <c r="I276" s="9">
        <v>9.2299999999999993E-2</v>
      </c>
      <c r="J276" s="9">
        <v>1.0169900000000001</v>
      </c>
      <c r="K276" s="9">
        <v>0.30080000000000001</v>
      </c>
      <c r="L276" s="9">
        <v>0.30220000000000002</v>
      </c>
      <c r="M276" s="11">
        <v>0.70769000000000004</v>
      </c>
      <c r="N276" s="11">
        <v>4.8403499999999999</v>
      </c>
      <c r="O276" s="11">
        <v>0.79339999999999999</v>
      </c>
      <c r="P276" s="11">
        <v>6.34145</v>
      </c>
      <c r="Q276" s="7"/>
    </row>
    <row r="277" spans="1:17" ht="12.75" customHeight="1" x14ac:dyDescent="0.35">
      <c r="A277" s="6" t="s">
        <v>62</v>
      </c>
      <c r="B277" s="6" t="s">
        <v>63</v>
      </c>
      <c r="C277" s="7">
        <v>2018</v>
      </c>
      <c r="D277" s="8">
        <v>18</v>
      </c>
      <c r="E277" s="9">
        <v>2.2559999999999998</v>
      </c>
      <c r="F277" s="9">
        <v>31.622</v>
      </c>
      <c r="G277" s="17">
        <v>1</v>
      </c>
      <c r="H277" s="9">
        <v>0.66669999999999996</v>
      </c>
      <c r="I277" s="9">
        <v>2.1999999999999999E-2</v>
      </c>
      <c r="J277" s="9">
        <v>0.84799999999999998</v>
      </c>
      <c r="K277" s="9">
        <v>7.0999999999999994E-2</v>
      </c>
      <c r="L277" s="9">
        <v>0.80700000000000005</v>
      </c>
      <c r="M277" s="11">
        <v>2.42645</v>
      </c>
      <c r="N277" s="11">
        <v>13.59674</v>
      </c>
      <c r="O277" s="11">
        <v>0.92645</v>
      </c>
      <c r="P277" s="11">
        <v>16.949639999999999</v>
      </c>
      <c r="Q277" s="7"/>
    </row>
    <row r="278" spans="1:17" ht="12.75" customHeight="1" x14ac:dyDescent="0.35">
      <c r="A278" s="6" t="s">
        <v>62</v>
      </c>
      <c r="B278" s="6" t="s">
        <v>63</v>
      </c>
      <c r="C278" s="7">
        <v>2019</v>
      </c>
      <c r="D278" s="8">
        <v>19</v>
      </c>
      <c r="E278" s="9">
        <v>2.4580000000000002</v>
      </c>
      <c r="F278" s="9">
        <v>31.547999999999998</v>
      </c>
      <c r="G278" s="17">
        <v>0</v>
      </c>
      <c r="H278" s="9">
        <v>0.66669999999999996</v>
      </c>
      <c r="I278" s="9">
        <v>1E-3</v>
      </c>
      <c r="J278" s="9">
        <v>0.83499999999999996</v>
      </c>
      <c r="K278" s="9">
        <v>5.0000000000000001E-3</v>
      </c>
      <c r="L278" s="9">
        <v>0.77</v>
      </c>
      <c r="M278" s="11">
        <v>2.6688700000000001</v>
      </c>
      <c r="N278" s="11">
        <v>12.43793</v>
      </c>
      <c r="O278" s="11">
        <v>0.91959999999999997</v>
      </c>
      <c r="P278" s="11">
        <v>16.026399999999999</v>
      </c>
      <c r="Q278" s="7"/>
    </row>
    <row r="279" spans="1:17" ht="12.75" customHeight="1" x14ac:dyDescent="0.35">
      <c r="A279" s="6" t="s">
        <v>62</v>
      </c>
      <c r="B279" s="6" t="s">
        <v>63</v>
      </c>
      <c r="C279" s="7">
        <v>2020</v>
      </c>
      <c r="D279" s="8">
        <v>20</v>
      </c>
      <c r="E279" s="9">
        <v>3.028</v>
      </c>
      <c r="F279" s="9">
        <v>31.529</v>
      </c>
      <c r="G279" s="17">
        <v>1</v>
      </c>
      <c r="H279" s="9">
        <v>0.8</v>
      </c>
      <c r="I279" s="9">
        <v>-0.03</v>
      </c>
      <c r="J279" s="9">
        <v>0.93500000000000005</v>
      </c>
      <c r="K279" s="9">
        <v>-0.11899999999999999</v>
      </c>
      <c r="L279" s="9">
        <v>0.51800000000000002</v>
      </c>
      <c r="M279" s="11">
        <v>2.52189</v>
      </c>
      <c r="N279" s="11">
        <v>10.059089999999999</v>
      </c>
      <c r="O279" s="11">
        <v>0.90059</v>
      </c>
      <c r="P279" s="11">
        <v>13.48157</v>
      </c>
      <c r="Q279" s="7"/>
    </row>
    <row r="280" spans="1:17" ht="12.75" customHeight="1" x14ac:dyDescent="0.35">
      <c r="A280" s="6" t="s">
        <v>62</v>
      </c>
      <c r="B280" s="6" t="s">
        <v>63</v>
      </c>
      <c r="C280" s="7">
        <v>2021</v>
      </c>
      <c r="D280" s="8">
        <v>21</v>
      </c>
      <c r="E280" s="9">
        <v>3.177</v>
      </c>
      <c r="F280" s="9">
        <v>31.594999999999999</v>
      </c>
      <c r="G280" s="17">
        <v>1</v>
      </c>
      <c r="H280" s="9">
        <v>1</v>
      </c>
      <c r="I280" s="9">
        <v>1.7000000000000001E-2</v>
      </c>
      <c r="J280" s="9">
        <v>0.91300000000000003</v>
      </c>
      <c r="K280" s="9">
        <v>7.1999999999999995E-2</v>
      </c>
      <c r="L280" s="9">
        <v>0.77500000000000002</v>
      </c>
      <c r="M280" s="11">
        <v>2.8223400000000001</v>
      </c>
      <c r="N280" s="11">
        <v>24.47081</v>
      </c>
      <c r="O280" s="11">
        <v>0.95913000000000004</v>
      </c>
      <c r="P280" s="11">
        <v>28.252279999999999</v>
      </c>
      <c r="Q280" s="7"/>
    </row>
    <row r="281" spans="1:17" ht="12.75" customHeight="1" x14ac:dyDescent="0.35">
      <c r="A281" s="6" t="s">
        <v>62</v>
      </c>
      <c r="B281" s="6" t="s">
        <v>63</v>
      </c>
      <c r="C281" s="7">
        <v>2022</v>
      </c>
      <c r="D281" s="8">
        <v>22</v>
      </c>
      <c r="E281" s="9">
        <v>1.6819999999999999</v>
      </c>
      <c r="F281" s="9">
        <v>31.666</v>
      </c>
      <c r="G281" s="17">
        <v>1</v>
      </c>
      <c r="H281" s="9">
        <v>0.8</v>
      </c>
      <c r="I281" s="9">
        <v>0.14199999999999999</v>
      </c>
      <c r="J281" s="9">
        <v>0.879</v>
      </c>
      <c r="K281" s="9">
        <v>0.38100000000000001</v>
      </c>
      <c r="L281" s="9">
        <v>1.206</v>
      </c>
      <c r="M281" s="11">
        <v>2.42008</v>
      </c>
      <c r="N281" s="11">
        <v>24.58888</v>
      </c>
      <c r="O281" s="11">
        <v>0.95933000000000002</v>
      </c>
      <c r="P281" s="11">
        <v>27.96829</v>
      </c>
      <c r="Q281" s="7"/>
    </row>
    <row r="282" spans="1:17" ht="12.75" customHeight="1" x14ac:dyDescent="0.35">
      <c r="A282" s="6" t="s">
        <v>64</v>
      </c>
      <c r="B282" s="6" t="s">
        <v>65</v>
      </c>
      <c r="C282" s="7">
        <v>2018</v>
      </c>
      <c r="D282" s="8">
        <v>58</v>
      </c>
      <c r="E282" s="9">
        <v>2.4119999999999999</v>
      </c>
      <c r="F282" s="9">
        <v>26.898</v>
      </c>
      <c r="G282" s="17">
        <v>0</v>
      </c>
      <c r="H282" s="9">
        <v>0.66669999999999996</v>
      </c>
      <c r="I282" s="9">
        <v>-2.4E-2</v>
      </c>
      <c r="J282" s="9">
        <v>3.468</v>
      </c>
      <c r="K282" s="9">
        <v>-0.08</v>
      </c>
      <c r="L282" s="9">
        <v>0.66300000000000003</v>
      </c>
      <c r="M282" s="11">
        <v>2.17022</v>
      </c>
      <c r="N282" s="11">
        <v>11.416729999999999</v>
      </c>
      <c r="O282" s="11">
        <v>0.91241000000000005</v>
      </c>
      <c r="P282" s="11">
        <v>14.499359999999999</v>
      </c>
      <c r="Q282" s="7"/>
    </row>
    <row r="283" spans="1:17" ht="12.75" customHeight="1" x14ac:dyDescent="0.35">
      <c r="A283" s="6" t="s">
        <v>64</v>
      </c>
      <c r="B283" s="6" t="s">
        <v>65</v>
      </c>
      <c r="C283" s="7">
        <v>2019</v>
      </c>
      <c r="D283" s="8">
        <v>59</v>
      </c>
      <c r="E283" s="9">
        <v>2.3980000000000001</v>
      </c>
      <c r="F283" s="9">
        <v>26.895</v>
      </c>
      <c r="G283" s="17">
        <v>0</v>
      </c>
      <c r="H283" s="9">
        <v>0.66669999999999996</v>
      </c>
      <c r="I283" s="9">
        <v>-8.0000000000000002E-3</v>
      </c>
      <c r="J283" s="9">
        <v>6.2039999999999997</v>
      </c>
      <c r="K283" s="9">
        <v>-2.8000000000000001E-2</v>
      </c>
      <c r="L283" s="9">
        <v>0.84499999999999997</v>
      </c>
      <c r="M283" s="11">
        <v>2.6046499999999999</v>
      </c>
      <c r="N283" s="11">
        <v>11.76272</v>
      </c>
      <c r="O283" s="11">
        <v>0.91498999999999997</v>
      </c>
      <c r="P283" s="11">
        <v>15.282360000000001</v>
      </c>
      <c r="Q283" s="7"/>
    </row>
    <row r="284" spans="1:17" ht="12.75" customHeight="1" x14ac:dyDescent="0.35">
      <c r="A284" s="6" t="s">
        <v>64</v>
      </c>
      <c r="B284" s="6" t="s">
        <v>65</v>
      </c>
      <c r="C284" s="7">
        <v>2020</v>
      </c>
      <c r="D284" s="8">
        <v>60</v>
      </c>
      <c r="E284" s="9">
        <v>2.68</v>
      </c>
      <c r="F284" s="9">
        <v>26.841000000000001</v>
      </c>
      <c r="G284" s="17">
        <v>0</v>
      </c>
      <c r="H284" s="9">
        <v>0.66669999999999996</v>
      </c>
      <c r="I284" s="9">
        <v>-3.7999999999999999E-2</v>
      </c>
      <c r="J284" s="9">
        <v>6.3129999999999997</v>
      </c>
      <c r="K284" s="9">
        <v>-0.14000000000000001</v>
      </c>
      <c r="L284" s="9">
        <v>0.56299999999999994</v>
      </c>
      <c r="M284" s="11">
        <v>1.9911000000000001</v>
      </c>
      <c r="N284" s="11">
        <v>8.6924499999999991</v>
      </c>
      <c r="O284" s="11">
        <v>0.88495999999999997</v>
      </c>
      <c r="P284" s="11">
        <v>11.56851</v>
      </c>
      <c r="Q284" s="7"/>
    </row>
    <row r="285" spans="1:17" ht="12.75" customHeight="1" x14ac:dyDescent="0.35">
      <c r="A285" s="6" t="s">
        <v>64</v>
      </c>
      <c r="B285" s="6" t="s">
        <v>65</v>
      </c>
      <c r="C285" s="7">
        <v>2021</v>
      </c>
      <c r="D285" s="8">
        <v>61</v>
      </c>
      <c r="E285" s="9">
        <v>3.4329999999999998</v>
      </c>
      <c r="F285" s="9">
        <v>26.752759999999999</v>
      </c>
      <c r="G285" s="12">
        <v>0</v>
      </c>
      <c r="H285" s="9">
        <v>0.66669999999999996</v>
      </c>
      <c r="I285" s="9">
        <v>-7.5069999999999998E-2</v>
      </c>
      <c r="J285" s="9">
        <v>6.3129999999999997</v>
      </c>
      <c r="K285" s="9">
        <v>-0.33279166902969259</v>
      </c>
      <c r="L285" s="9">
        <v>0.63612488425377511</v>
      </c>
      <c r="M285" s="11">
        <v>2.7119884842211275</v>
      </c>
      <c r="N285" s="11">
        <v>19.951363978896786</v>
      </c>
      <c r="O285" s="11">
        <v>0.94987811354362872</v>
      </c>
      <c r="P285" s="11">
        <v>23.613230576661543</v>
      </c>
      <c r="Q285" s="7"/>
    </row>
    <row r="286" spans="1:17" ht="12.75" customHeight="1" x14ac:dyDescent="0.35">
      <c r="A286" s="6" t="s">
        <v>64</v>
      </c>
      <c r="B286" s="6" t="s">
        <v>65</v>
      </c>
      <c r="C286" s="7">
        <v>2022</v>
      </c>
      <c r="D286" s="8">
        <v>62</v>
      </c>
      <c r="E286" s="9">
        <v>15.047000000000001</v>
      </c>
      <c r="F286" s="9">
        <v>26.460999999999999</v>
      </c>
      <c r="G286" s="17">
        <v>0</v>
      </c>
      <c r="H286" s="9">
        <v>0.66669999999999996</v>
      </c>
      <c r="I286" s="9">
        <v>-0.24299999999999999</v>
      </c>
      <c r="J286" s="9">
        <v>3.4079999999999999</v>
      </c>
      <c r="K286" s="9">
        <v>-3.8919999999999999</v>
      </c>
      <c r="L286" s="9">
        <v>0.90800000000000003</v>
      </c>
      <c r="M286" s="11">
        <v>17.652200000000001</v>
      </c>
      <c r="N286" s="11">
        <v>6.5700900000000004</v>
      </c>
      <c r="O286" s="11">
        <v>0.8478</v>
      </c>
      <c r="P286" s="11">
        <v>25.070080000000001</v>
      </c>
      <c r="Q286" s="7"/>
    </row>
    <row r="287" spans="1:17" ht="12.75" customHeight="1" x14ac:dyDescent="0.35">
      <c r="A287" s="6" t="s">
        <v>66</v>
      </c>
      <c r="B287" s="6" t="s">
        <v>67</v>
      </c>
      <c r="C287" s="7">
        <v>2012</v>
      </c>
      <c r="D287" s="8">
        <f t="shared" ref="D287:D291" si="49">D288-1</f>
        <v>26</v>
      </c>
      <c r="E287" s="9">
        <v>2.368E-2</v>
      </c>
      <c r="F287" s="9">
        <v>26.506599999999999</v>
      </c>
      <c r="G287" s="10">
        <v>0</v>
      </c>
      <c r="H287" s="9">
        <f t="shared" ref="H287:H289" si="50">H288</f>
        <v>0.66666666666666663</v>
      </c>
      <c r="I287" s="9">
        <v>0.43669999999999998</v>
      </c>
      <c r="J287" s="9">
        <v>0.21154000000000001</v>
      </c>
      <c r="K287" s="9">
        <v>0.44700000000000001</v>
      </c>
      <c r="L287" s="9">
        <v>6.3299999999999995E-2</v>
      </c>
      <c r="M287" s="11">
        <v>3.5439999999999999E-2</v>
      </c>
      <c r="N287" s="11">
        <v>9.6693599999999993</v>
      </c>
      <c r="O287" s="11">
        <v>0.89658000000000004</v>
      </c>
      <c r="P287" s="11">
        <v>10.601380000000001</v>
      </c>
      <c r="Q287" s="7"/>
    </row>
    <row r="288" spans="1:17" ht="12.75" customHeight="1" x14ac:dyDescent="0.35">
      <c r="A288" s="6" t="s">
        <v>66</v>
      </c>
      <c r="B288" s="6" t="s">
        <v>67</v>
      </c>
      <c r="C288" s="7">
        <v>2013</v>
      </c>
      <c r="D288" s="8">
        <f t="shared" si="49"/>
        <v>27</v>
      </c>
      <c r="E288" s="9">
        <v>2.0400000000000001E-3</v>
      </c>
      <c r="F288" s="9">
        <v>27.165299999999998</v>
      </c>
      <c r="G288" s="10">
        <v>0</v>
      </c>
      <c r="H288" s="9">
        <f t="shared" si="50"/>
        <v>0.66666666666666663</v>
      </c>
      <c r="I288" s="9">
        <v>0.43469999999999998</v>
      </c>
      <c r="J288" s="9">
        <v>0.68994</v>
      </c>
      <c r="K288" s="9">
        <v>0.43559999999999999</v>
      </c>
      <c r="L288" s="9">
        <v>6.7000000000000002E-3</v>
      </c>
      <c r="M288" s="11">
        <v>-1.286E-2</v>
      </c>
      <c r="N288" s="11">
        <v>-6.0708700000000002</v>
      </c>
      <c r="O288" s="11">
        <v>1.16472</v>
      </c>
      <c r="P288" s="11">
        <v>-4.9190100000000001</v>
      </c>
      <c r="Q288" s="7"/>
    </row>
    <row r="289" spans="1:17" ht="12.75" customHeight="1" x14ac:dyDescent="0.35">
      <c r="A289" s="6" t="s">
        <v>66</v>
      </c>
      <c r="B289" s="6" t="s">
        <v>67</v>
      </c>
      <c r="C289" s="7">
        <v>2015</v>
      </c>
      <c r="D289" s="8">
        <f t="shared" si="49"/>
        <v>28</v>
      </c>
      <c r="E289" s="9">
        <v>2.4000000000000001E-4</v>
      </c>
      <c r="F289" s="9">
        <v>28.0688</v>
      </c>
      <c r="G289" s="10">
        <v>0</v>
      </c>
      <c r="H289" s="9">
        <f t="shared" si="50"/>
        <v>0.66666666666666663</v>
      </c>
      <c r="I289" s="9">
        <v>0.20979999999999999</v>
      </c>
      <c r="J289" s="9">
        <v>0.30791000000000002</v>
      </c>
      <c r="K289" s="9">
        <v>0.2099</v>
      </c>
      <c r="L289" s="9">
        <v>1.1999999999999999E-3</v>
      </c>
      <c r="M289" s="11">
        <v>4.3099999999999996E-3</v>
      </c>
      <c r="N289" s="11">
        <v>4.9800000000000004</v>
      </c>
      <c r="O289" s="11">
        <v>0.79920000000000002</v>
      </c>
      <c r="P289" s="11">
        <v>5.7835000000000001</v>
      </c>
      <c r="Q289" s="7"/>
    </row>
    <row r="290" spans="1:17" ht="12.75" customHeight="1" x14ac:dyDescent="0.35">
      <c r="A290" s="6" t="s">
        <v>66</v>
      </c>
      <c r="B290" s="6" t="s">
        <v>67</v>
      </c>
      <c r="C290" s="7">
        <v>2016</v>
      </c>
      <c r="D290" s="8">
        <f t="shared" si="49"/>
        <v>29</v>
      </c>
      <c r="E290" s="9">
        <v>2.8999999999999998E-3</v>
      </c>
      <c r="F290" s="9">
        <v>28.0229</v>
      </c>
      <c r="G290" s="10">
        <v>0</v>
      </c>
      <c r="H290" s="9">
        <v>0.66666666666666663</v>
      </c>
      <c r="I290" s="9">
        <v>0.17580000000000001</v>
      </c>
      <c r="J290" s="9">
        <v>0.48033999999999999</v>
      </c>
      <c r="K290" s="9">
        <v>0.17630000000000001</v>
      </c>
      <c r="L290" s="9">
        <v>1.1999999999999999E-3</v>
      </c>
      <c r="M290" s="11">
        <v>3.96E-3</v>
      </c>
      <c r="N290" s="11">
        <v>4.1028000000000002</v>
      </c>
      <c r="O290" s="11">
        <v>0.75626000000000004</v>
      </c>
      <c r="P290" s="11">
        <v>4.8630300000000002</v>
      </c>
      <c r="Q290" s="7"/>
    </row>
    <row r="291" spans="1:17" ht="12.75" customHeight="1" x14ac:dyDescent="0.35">
      <c r="A291" s="6" t="s">
        <v>66</v>
      </c>
      <c r="B291" s="6" t="s">
        <v>67</v>
      </c>
      <c r="C291" s="7">
        <v>2017</v>
      </c>
      <c r="D291" s="8">
        <f t="shared" si="49"/>
        <v>30</v>
      </c>
      <c r="E291" s="9">
        <v>2.5300000000000001E-3</v>
      </c>
      <c r="F291" s="9">
        <v>28.1465</v>
      </c>
      <c r="G291" s="10">
        <v>0</v>
      </c>
      <c r="H291" s="9">
        <v>0.66666666666666663</v>
      </c>
      <c r="I291" s="9">
        <v>0.1085</v>
      </c>
      <c r="J291" s="9">
        <v>0.28233000000000003</v>
      </c>
      <c r="K291" s="9">
        <v>0.10879999999999999</v>
      </c>
      <c r="L291" s="9">
        <v>8.9999999999999998E-4</v>
      </c>
      <c r="M291" s="11">
        <v>3.15E-3</v>
      </c>
      <c r="N291" s="11">
        <v>3.37391</v>
      </c>
      <c r="O291" s="11">
        <v>0.70360999999999996</v>
      </c>
      <c r="P291" s="11">
        <v>4.0806699999999996</v>
      </c>
      <c r="Q291" s="7"/>
    </row>
    <row r="292" spans="1:17" ht="12.75" customHeight="1" x14ac:dyDescent="0.35">
      <c r="A292" s="6" t="s">
        <v>66</v>
      </c>
      <c r="B292" s="6" t="s">
        <v>67</v>
      </c>
      <c r="C292" s="7">
        <v>2018</v>
      </c>
      <c r="D292" s="8">
        <v>31</v>
      </c>
      <c r="E292" s="9">
        <v>2E-3</v>
      </c>
      <c r="F292" s="9">
        <v>28.315999999999999</v>
      </c>
      <c r="G292" s="17">
        <v>0</v>
      </c>
      <c r="H292" s="9">
        <v>0.66669999999999996</v>
      </c>
      <c r="I292" s="9">
        <v>8.1000000000000003E-2</v>
      </c>
      <c r="J292" s="9">
        <v>0.29699999999999999</v>
      </c>
      <c r="K292" s="9">
        <v>8.1000000000000003E-2</v>
      </c>
      <c r="L292" s="9">
        <v>0</v>
      </c>
      <c r="M292" s="11">
        <v>2.9299999999999999E-3</v>
      </c>
      <c r="N292" s="11">
        <v>2.71034</v>
      </c>
      <c r="O292" s="11">
        <v>0.63104000000000005</v>
      </c>
      <c r="P292" s="11">
        <v>3.3443200000000002</v>
      </c>
      <c r="Q292" s="7"/>
    </row>
    <row r="293" spans="1:17" ht="12.75" customHeight="1" x14ac:dyDescent="0.35">
      <c r="A293" s="6" t="s">
        <v>66</v>
      </c>
      <c r="B293" s="6" t="s">
        <v>67</v>
      </c>
      <c r="C293" s="7">
        <v>2019</v>
      </c>
      <c r="D293" s="8">
        <v>32</v>
      </c>
      <c r="E293" s="9">
        <v>2E-3</v>
      </c>
      <c r="F293" s="9">
        <v>28.515000000000001</v>
      </c>
      <c r="G293" s="17">
        <v>0</v>
      </c>
      <c r="H293" s="9">
        <v>0.66669999999999996</v>
      </c>
      <c r="I293" s="9">
        <v>0.08</v>
      </c>
      <c r="J293" s="9">
        <v>0.29699999999999999</v>
      </c>
      <c r="K293" s="9">
        <v>0.08</v>
      </c>
      <c r="L293" s="9">
        <v>0</v>
      </c>
      <c r="M293" s="11">
        <v>1.2700000000000001E-3</v>
      </c>
      <c r="N293" s="11">
        <v>4.4225700000000003</v>
      </c>
      <c r="O293" s="11">
        <v>0.77388999999999997</v>
      </c>
      <c r="P293" s="11">
        <v>5.19773</v>
      </c>
      <c r="Q293" s="7"/>
    </row>
    <row r="294" spans="1:17" ht="12.75" customHeight="1" x14ac:dyDescent="0.35">
      <c r="A294" s="6" t="s">
        <v>66</v>
      </c>
      <c r="B294" s="6" t="s">
        <v>67</v>
      </c>
      <c r="C294" s="7">
        <v>2020</v>
      </c>
      <c r="D294" s="8">
        <v>33</v>
      </c>
      <c r="E294" s="9">
        <v>2E-3</v>
      </c>
      <c r="F294" s="9">
        <v>28.446000000000002</v>
      </c>
      <c r="G294" s="17">
        <v>0</v>
      </c>
      <c r="H294" s="9">
        <v>0.66669999999999996</v>
      </c>
      <c r="I294" s="9">
        <v>7.6999999999999999E-2</v>
      </c>
      <c r="J294" s="9">
        <v>0.23400000000000001</v>
      </c>
      <c r="K294" s="9">
        <v>7.8E-2</v>
      </c>
      <c r="L294" s="9">
        <v>1E-3</v>
      </c>
      <c r="M294" s="11">
        <v>4.0000000000000002E-4</v>
      </c>
      <c r="N294" s="11">
        <v>4.0355600000000003</v>
      </c>
      <c r="O294" s="11">
        <v>0.75219999999999998</v>
      </c>
      <c r="P294" s="11">
        <v>4.78817</v>
      </c>
      <c r="Q294" s="7"/>
    </row>
    <row r="295" spans="1:17" ht="12.75" customHeight="1" x14ac:dyDescent="0.35">
      <c r="A295" s="6" t="s">
        <v>66</v>
      </c>
      <c r="B295" s="6" t="s">
        <v>67</v>
      </c>
      <c r="C295" s="7">
        <v>2021</v>
      </c>
      <c r="D295" s="8">
        <v>34</v>
      </c>
      <c r="E295" s="9">
        <v>6.4000000000000001E-2</v>
      </c>
      <c r="F295" s="9">
        <v>28.591999999999999</v>
      </c>
      <c r="G295" s="17">
        <v>0</v>
      </c>
      <c r="H295" s="9">
        <v>0.66669999999999996</v>
      </c>
      <c r="I295" s="9">
        <v>6.7000000000000004E-2</v>
      </c>
      <c r="J295" s="9">
        <v>0.34599999999999997</v>
      </c>
      <c r="K295" s="9">
        <v>7.0999999999999994E-2</v>
      </c>
      <c r="L295" s="9">
        <v>1E-3</v>
      </c>
      <c r="M295" s="11">
        <v>8.7000000000000001E-4</v>
      </c>
      <c r="N295" s="11">
        <v>5.9783200000000001</v>
      </c>
      <c r="O295" s="11">
        <v>0.83272999999999997</v>
      </c>
      <c r="P295" s="11">
        <v>6.8119100000000001</v>
      </c>
      <c r="Q295" s="7"/>
    </row>
    <row r="296" spans="1:17" ht="12.75" customHeight="1" x14ac:dyDescent="0.35">
      <c r="A296" s="6" t="s">
        <v>66</v>
      </c>
      <c r="B296" s="6" t="s">
        <v>67</v>
      </c>
      <c r="C296" s="7">
        <v>2022</v>
      </c>
      <c r="D296" s="8">
        <v>35</v>
      </c>
      <c r="E296" s="9">
        <v>4.5999999999999999E-2</v>
      </c>
      <c r="F296" s="9">
        <v>28.869</v>
      </c>
      <c r="G296" s="17">
        <v>0</v>
      </c>
      <c r="H296" s="9">
        <v>0.66669999999999996</v>
      </c>
      <c r="I296" s="9">
        <v>0.13900000000000001</v>
      </c>
      <c r="J296" s="9">
        <v>0.28000000000000003</v>
      </c>
      <c r="K296" s="9">
        <v>0.14599999999999999</v>
      </c>
      <c r="L296" s="9">
        <v>1E-3</v>
      </c>
      <c r="M296" s="11">
        <v>-2.2799999999999999E-3</v>
      </c>
      <c r="N296" s="11">
        <v>-16.43873</v>
      </c>
      <c r="O296" s="11">
        <v>1.0608299999999999</v>
      </c>
      <c r="P296" s="11">
        <v>-15.380179999999999</v>
      </c>
      <c r="Q296" s="7"/>
    </row>
    <row r="297" spans="1:17" ht="12.75" customHeight="1" x14ac:dyDescent="0.35">
      <c r="A297" s="6" t="s">
        <v>68</v>
      </c>
      <c r="B297" s="6" t="s">
        <v>69</v>
      </c>
      <c r="C297" s="7">
        <v>2012</v>
      </c>
      <c r="D297" s="8">
        <f t="shared" ref="D297:D302" si="51">D298-1</f>
        <v>25</v>
      </c>
      <c r="E297" s="9">
        <v>0.48763000000000001</v>
      </c>
      <c r="F297" s="9">
        <v>30.269200000000001</v>
      </c>
      <c r="G297" s="10">
        <v>1</v>
      </c>
      <c r="H297" s="9">
        <f t="shared" ref="H297:H300" si="52">H298</f>
        <v>0.66666666666666663</v>
      </c>
      <c r="I297" s="9">
        <v>0.28970000000000001</v>
      </c>
      <c r="J297" s="9">
        <v>3.59537</v>
      </c>
      <c r="K297" s="9">
        <v>0.43099999999999999</v>
      </c>
      <c r="L297" s="9">
        <v>1.6355</v>
      </c>
      <c r="M297" s="11">
        <v>1.9169700000000001</v>
      </c>
      <c r="N297" s="11">
        <v>40.685160000000003</v>
      </c>
      <c r="O297" s="11">
        <v>0.97541999999999995</v>
      </c>
      <c r="P297" s="11">
        <v>43.577550000000002</v>
      </c>
      <c r="Q297" s="7"/>
    </row>
    <row r="298" spans="1:17" ht="12.75" customHeight="1" x14ac:dyDescent="0.35">
      <c r="A298" s="6" t="s">
        <v>68</v>
      </c>
      <c r="B298" s="6" t="s">
        <v>69</v>
      </c>
      <c r="C298" s="7">
        <v>2013</v>
      </c>
      <c r="D298" s="8">
        <f t="shared" si="51"/>
        <v>26</v>
      </c>
      <c r="E298" s="9">
        <v>0.47667999999999999</v>
      </c>
      <c r="F298" s="9">
        <v>30.2605</v>
      </c>
      <c r="G298" s="10">
        <v>1</v>
      </c>
      <c r="H298" s="9">
        <f t="shared" si="52"/>
        <v>0.66666666666666663</v>
      </c>
      <c r="I298" s="9">
        <v>0.1545</v>
      </c>
      <c r="J298" s="9">
        <v>2.31108</v>
      </c>
      <c r="K298" s="9">
        <v>0.2281</v>
      </c>
      <c r="L298" s="9">
        <v>1.6422000000000001</v>
      </c>
      <c r="M298" s="11">
        <v>2.1614100000000001</v>
      </c>
      <c r="N298" s="11">
        <v>45.419730000000001</v>
      </c>
      <c r="O298" s="11">
        <v>0.97797999999999996</v>
      </c>
      <c r="P298" s="11">
        <v>48.559130000000003</v>
      </c>
      <c r="Q298" s="7"/>
    </row>
    <row r="299" spans="1:17" ht="12.75" customHeight="1" x14ac:dyDescent="0.35">
      <c r="A299" s="6" t="s">
        <v>68</v>
      </c>
      <c r="B299" s="6" t="s">
        <v>69</v>
      </c>
      <c r="C299" s="7">
        <v>2014</v>
      </c>
      <c r="D299" s="8">
        <f t="shared" si="51"/>
        <v>27</v>
      </c>
      <c r="E299" s="9">
        <v>0.48142000000000001</v>
      </c>
      <c r="F299" s="9">
        <v>30.376100000000001</v>
      </c>
      <c r="G299" s="10">
        <v>1</v>
      </c>
      <c r="H299" s="9">
        <f t="shared" si="52"/>
        <v>0.66666666666666663</v>
      </c>
      <c r="I299" s="9">
        <v>0.15340000000000001</v>
      </c>
      <c r="J299" s="9">
        <v>1.39208</v>
      </c>
      <c r="K299" s="9">
        <v>0.22720000000000001</v>
      </c>
      <c r="L299" s="9">
        <v>1.4823999999999999</v>
      </c>
      <c r="M299" s="11">
        <v>1.9736100000000001</v>
      </c>
      <c r="N299" s="11">
        <v>33.580640000000002</v>
      </c>
      <c r="O299" s="11">
        <v>0.97021999999999997</v>
      </c>
      <c r="P299" s="11">
        <v>36.524470000000001</v>
      </c>
      <c r="Q299" s="7"/>
    </row>
    <row r="300" spans="1:17" ht="12.75" customHeight="1" x14ac:dyDescent="0.35">
      <c r="A300" s="6" t="s">
        <v>68</v>
      </c>
      <c r="B300" s="6" t="s">
        <v>69</v>
      </c>
      <c r="C300" s="7">
        <v>2015</v>
      </c>
      <c r="D300" s="8">
        <f t="shared" si="51"/>
        <v>28</v>
      </c>
      <c r="E300" s="9">
        <v>0.41195999999999999</v>
      </c>
      <c r="F300" s="9">
        <v>30.389800000000001</v>
      </c>
      <c r="G300" s="10">
        <v>1</v>
      </c>
      <c r="H300" s="9">
        <f t="shared" si="52"/>
        <v>0.66666666666666663</v>
      </c>
      <c r="I300" s="9">
        <v>5.3600000000000002E-2</v>
      </c>
      <c r="J300" s="9">
        <v>0.68972999999999995</v>
      </c>
      <c r="K300" s="9">
        <v>7.5600000000000001E-2</v>
      </c>
      <c r="L300" s="9">
        <v>1.3488</v>
      </c>
      <c r="M300" s="11">
        <v>1.77389</v>
      </c>
      <c r="N300" s="11">
        <v>28.62311</v>
      </c>
      <c r="O300" s="11">
        <v>0.96506000000000003</v>
      </c>
      <c r="P300" s="11">
        <v>31.362069999999999</v>
      </c>
      <c r="Q300" s="7"/>
    </row>
    <row r="301" spans="1:17" ht="12.75" customHeight="1" x14ac:dyDescent="0.35">
      <c r="A301" s="6" t="s">
        <v>68</v>
      </c>
      <c r="B301" s="6" t="s">
        <v>69</v>
      </c>
      <c r="C301" s="7">
        <v>2016</v>
      </c>
      <c r="D301" s="8">
        <f t="shared" si="51"/>
        <v>29</v>
      </c>
      <c r="E301" s="9">
        <v>0.33321000000000001</v>
      </c>
      <c r="F301" s="9">
        <v>30.409800000000001</v>
      </c>
      <c r="G301" s="10">
        <v>1</v>
      </c>
      <c r="H301" s="9">
        <v>0.66666666666666663</v>
      </c>
      <c r="I301" s="9">
        <v>0.108</v>
      </c>
      <c r="J301" s="9">
        <v>1.4229400000000001</v>
      </c>
      <c r="K301" s="9">
        <v>0.14399999999999999</v>
      </c>
      <c r="L301" s="9">
        <v>1.1304000000000001</v>
      </c>
      <c r="M301" s="11">
        <v>1.3442499999999999</v>
      </c>
      <c r="N301" s="11">
        <v>24.67501</v>
      </c>
      <c r="O301" s="11">
        <v>0.95947000000000005</v>
      </c>
      <c r="P301" s="11">
        <v>26.978729999999999</v>
      </c>
      <c r="Q301" s="7"/>
    </row>
    <row r="302" spans="1:17" ht="12.75" customHeight="1" x14ac:dyDescent="0.35">
      <c r="A302" s="6" t="s">
        <v>68</v>
      </c>
      <c r="B302" s="6" t="s">
        <v>69</v>
      </c>
      <c r="C302" s="7">
        <v>2017</v>
      </c>
      <c r="D302" s="8">
        <f t="shared" si="51"/>
        <v>30</v>
      </c>
      <c r="E302" s="9">
        <v>0.41802</v>
      </c>
      <c r="F302" s="9">
        <v>30.543800000000001</v>
      </c>
      <c r="G302" s="10">
        <v>1</v>
      </c>
      <c r="H302" s="9">
        <v>0.66666666666666663</v>
      </c>
      <c r="I302" s="9">
        <v>0.18590000000000001</v>
      </c>
      <c r="J302" s="9">
        <v>1.5654600000000001</v>
      </c>
      <c r="K302" s="9">
        <v>0.2636</v>
      </c>
      <c r="L302" s="9">
        <v>1.2435</v>
      </c>
      <c r="M302" s="11">
        <v>1.4513499999999999</v>
      </c>
      <c r="N302" s="11">
        <v>24.035799999999998</v>
      </c>
      <c r="O302" s="11">
        <v>0.95840000000000003</v>
      </c>
      <c r="P302" s="11">
        <v>26.445540000000001</v>
      </c>
      <c r="Q302" s="7"/>
    </row>
    <row r="303" spans="1:17" ht="12.75" customHeight="1" x14ac:dyDescent="0.35">
      <c r="A303" s="6" t="s">
        <v>68</v>
      </c>
      <c r="B303" s="6" t="s">
        <v>69</v>
      </c>
      <c r="C303" s="7">
        <v>2018</v>
      </c>
      <c r="D303" s="8">
        <v>31</v>
      </c>
      <c r="E303" s="9">
        <v>0.48799999999999999</v>
      </c>
      <c r="F303" s="9">
        <v>30.689</v>
      </c>
      <c r="G303" s="17">
        <v>1</v>
      </c>
      <c r="H303" s="9">
        <v>0.5</v>
      </c>
      <c r="I303" s="9">
        <v>0.182</v>
      </c>
      <c r="J303" s="9">
        <v>1.423</v>
      </c>
      <c r="K303" s="9">
        <v>0.27</v>
      </c>
      <c r="L303" s="9">
        <v>1.3919999999999999</v>
      </c>
      <c r="M303" s="11">
        <v>1.75542</v>
      </c>
      <c r="N303" s="11">
        <v>26.31991</v>
      </c>
      <c r="O303" s="11">
        <v>0.96201000000000003</v>
      </c>
      <c r="P303" s="11">
        <v>29.03734</v>
      </c>
      <c r="Q303" s="7"/>
    </row>
    <row r="304" spans="1:17" ht="12.75" customHeight="1" x14ac:dyDescent="0.35">
      <c r="A304" s="6" t="s">
        <v>68</v>
      </c>
      <c r="B304" s="6" t="s">
        <v>69</v>
      </c>
      <c r="C304" s="7">
        <v>2019</v>
      </c>
      <c r="D304" s="8">
        <v>32</v>
      </c>
      <c r="E304" s="9">
        <v>0.36699999999999999</v>
      </c>
      <c r="F304" s="9">
        <v>30.452999999999999</v>
      </c>
      <c r="G304" s="17">
        <v>1</v>
      </c>
      <c r="H304" s="9">
        <v>0.5</v>
      </c>
      <c r="I304" s="9">
        <v>0.105</v>
      </c>
      <c r="J304" s="9">
        <v>1.04</v>
      </c>
      <c r="K304" s="9">
        <v>0.14299999999999999</v>
      </c>
      <c r="L304" s="9">
        <v>1.419</v>
      </c>
      <c r="M304" s="11">
        <v>1.8076399999999999</v>
      </c>
      <c r="N304" s="11">
        <v>25.966629999999999</v>
      </c>
      <c r="O304" s="11">
        <v>0.96148999999999996</v>
      </c>
      <c r="P304" s="11">
        <v>28.735759999999999</v>
      </c>
      <c r="Q304" s="7"/>
    </row>
    <row r="305" spans="1:17" ht="12.75" customHeight="1" x14ac:dyDescent="0.35">
      <c r="A305" s="6" t="s">
        <v>68</v>
      </c>
      <c r="B305" s="6" t="s">
        <v>69</v>
      </c>
      <c r="C305" s="7">
        <v>2020</v>
      </c>
      <c r="D305" s="8">
        <v>33</v>
      </c>
      <c r="E305" s="9">
        <v>0.36899999999999999</v>
      </c>
      <c r="F305" s="9">
        <v>30.422999999999998</v>
      </c>
      <c r="G305" s="17">
        <v>1</v>
      </c>
      <c r="H305" s="9">
        <v>0.66669999999999996</v>
      </c>
      <c r="I305" s="9">
        <v>3.3000000000000002E-2</v>
      </c>
      <c r="J305" s="9">
        <v>1.2290000000000001</v>
      </c>
      <c r="K305" s="9">
        <v>4.4999999999999998E-2</v>
      </c>
      <c r="L305" s="9">
        <v>1.0229999999999999</v>
      </c>
      <c r="M305" s="11">
        <v>1.18336</v>
      </c>
      <c r="N305" s="11">
        <v>15.435549999999999</v>
      </c>
      <c r="O305" s="11">
        <v>0.93520999999999999</v>
      </c>
      <c r="P305" s="11">
        <v>17.554130000000001</v>
      </c>
      <c r="Q305" s="7"/>
    </row>
    <row r="306" spans="1:17" ht="12.75" customHeight="1" x14ac:dyDescent="0.35">
      <c r="A306" s="6" t="s">
        <v>68</v>
      </c>
      <c r="B306" s="6" t="s">
        <v>69</v>
      </c>
      <c r="C306" s="7">
        <v>2021</v>
      </c>
      <c r="D306" s="8">
        <v>34</v>
      </c>
      <c r="E306" s="9">
        <v>0.38700000000000001</v>
      </c>
      <c r="F306" s="9">
        <v>30.808</v>
      </c>
      <c r="G306" s="17">
        <v>1</v>
      </c>
      <c r="H306" s="9">
        <v>0.66669999999999996</v>
      </c>
      <c r="I306" s="9">
        <v>0.28499999999999998</v>
      </c>
      <c r="J306" s="9">
        <v>1.2410000000000001</v>
      </c>
      <c r="K306" s="9">
        <v>0.39600000000000002</v>
      </c>
      <c r="L306" s="9">
        <v>1.246</v>
      </c>
      <c r="M306" s="11">
        <v>1.03844</v>
      </c>
      <c r="N306" s="11">
        <v>17.894310000000001</v>
      </c>
      <c r="O306" s="11">
        <v>0.94411999999999996</v>
      </c>
      <c r="P306" s="11">
        <v>19.87687</v>
      </c>
      <c r="Q306" s="7"/>
    </row>
    <row r="307" spans="1:17" ht="12.75" customHeight="1" x14ac:dyDescent="0.35">
      <c r="A307" s="6" t="s">
        <v>68</v>
      </c>
      <c r="B307" s="6" t="s">
        <v>69</v>
      </c>
      <c r="C307" s="7">
        <v>2022</v>
      </c>
      <c r="D307" s="8">
        <v>35</v>
      </c>
      <c r="E307" s="9">
        <v>0.35399999999999998</v>
      </c>
      <c r="F307" s="9">
        <v>31.358000000000001</v>
      </c>
      <c r="G307" s="17">
        <v>1</v>
      </c>
      <c r="H307" s="9">
        <v>0.66669999999999996</v>
      </c>
      <c r="I307" s="9">
        <v>0.45400000000000001</v>
      </c>
      <c r="J307" s="9">
        <v>1.323</v>
      </c>
      <c r="K307" s="9">
        <v>0.61499999999999999</v>
      </c>
      <c r="L307" s="9">
        <v>1.377</v>
      </c>
      <c r="M307" s="11">
        <v>0.74751999999999996</v>
      </c>
      <c r="N307" s="11">
        <v>19.26643</v>
      </c>
      <c r="O307" s="11">
        <v>0.94810000000000005</v>
      </c>
      <c r="P307" s="11">
        <v>20.962050000000001</v>
      </c>
      <c r="Q307" s="7"/>
    </row>
    <row r="308" spans="1:17" ht="12.75" customHeight="1" x14ac:dyDescent="0.35">
      <c r="A308" s="6" t="s">
        <v>70</v>
      </c>
      <c r="B308" s="6" t="s">
        <v>71</v>
      </c>
      <c r="C308" s="7">
        <v>2018</v>
      </c>
      <c r="D308" s="8">
        <v>10</v>
      </c>
      <c r="E308" s="9">
        <v>1.7849999999999999</v>
      </c>
      <c r="F308" s="9">
        <v>27.065000000000001</v>
      </c>
      <c r="G308" s="17">
        <v>0</v>
      </c>
      <c r="H308" s="9">
        <v>0.66669999999999996</v>
      </c>
      <c r="I308" s="9">
        <v>4.2000000000000003E-2</v>
      </c>
      <c r="J308" s="9">
        <v>2.4660000000000002</v>
      </c>
      <c r="K308" s="9">
        <v>0.11600000000000001</v>
      </c>
      <c r="L308" s="9">
        <v>0.748</v>
      </c>
      <c r="M308" s="11">
        <v>1.8297000000000001</v>
      </c>
      <c r="N308" s="11">
        <v>23.999890000000001</v>
      </c>
      <c r="O308" s="11">
        <v>0.95833000000000002</v>
      </c>
      <c r="P308" s="11">
        <v>26.78792</v>
      </c>
      <c r="Q308" s="7"/>
    </row>
    <row r="309" spans="1:17" ht="12.75" customHeight="1" x14ac:dyDescent="0.35">
      <c r="A309" s="6" t="s">
        <v>70</v>
      </c>
      <c r="B309" s="6" t="s">
        <v>71</v>
      </c>
      <c r="C309" s="7">
        <v>2019</v>
      </c>
      <c r="D309" s="8">
        <v>11</v>
      </c>
      <c r="E309" s="9">
        <v>1.4550000000000001</v>
      </c>
      <c r="F309" s="9">
        <v>27.007000000000001</v>
      </c>
      <c r="G309" s="17">
        <v>0</v>
      </c>
      <c r="H309" s="9">
        <v>0.66669999999999996</v>
      </c>
      <c r="I309" s="9">
        <v>2.5999999999999999E-2</v>
      </c>
      <c r="J309" s="9">
        <v>1.389</v>
      </c>
      <c r="K309" s="9">
        <v>6.4000000000000001E-2</v>
      </c>
      <c r="L309" s="9">
        <v>0.71399999999999997</v>
      </c>
      <c r="M309" s="11">
        <v>1.5661400000000001</v>
      </c>
      <c r="N309" s="11">
        <v>19.441980000000001</v>
      </c>
      <c r="O309" s="11">
        <v>0.94855999999999996</v>
      </c>
      <c r="P309" s="11">
        <v>21.956689999999998</v>
      </c>
      <c r="Q309" s="7"/>
    </row>
    <row r="310" spans="1:17" ht="12.75" customHeight="1" x14ac:dyDescent="0.35">
      <c r="A310" s="6" t="s">
        <v>70</v>
      </c>
      <c r="B310" s="6" t="s">
        <v>71</v>
      </c>
      <c r="C310" s="7">
        <v>2020</v>
      </c>
      <c r="D310" s="8">
        <v>12</v>
      </c>
      <c r="E310" s="9">
        <v>1.1339999999999999</v>
      </c>
      <c r="F310" s="9">
        <v>26.928999999999998</v>
      </c>
      <c r="G310" s="17">
        <v>0</v>
      </c>
      <c r="H310" s="9">
        <v>0.66669999999999996</v>
      </c>
      <c r="I310" s="9">
        <v>1.4E-2</v>
      </c>
      <c r="J310" s="9">
        <v>1.4750000000000001</v>
      </c>
      <c r="K310" s="9">
        <v>0.03</v>
      </c>
      <c r="L310" s="9">
        <v>0.40400000000000003</v>
      </c>
      <c r="M310" s="11">
        <v>0.76465000000000005</v>
      </c>
      <c r="N310" s="11">
        <v>10.90985</v>
      </c>
      <c r="O310" s="11">
        <v>0.90834000000000004</v>
      </c>
      <c r="P310" s="11">
        <v>12.58283</v>
      </c>
      <c r="Q310" s="7"/>
    </row>
    <row r="311" spans="1:17" ht="12.75" customHeight="1" x14ac:dyDescent="0.35">
      <c r="A311" s="6" t="s">
        <v>70</v>
      </c>
      <c r="B311" s="6" t="s">
        <v>71</v>
      </c>
      <c r="C311" s="7">
        <v>2021</v>
      </c>
      <c r="D311" s="8">
        <v>13</v>
      </c>
      <c r="E311" s="9">
        <v>1.4119999999999999</v>
      </c>
      <c r="F311" s="9">
        <v>26.68271</v>
      </c>
      <c r="G311" s="12">
        <v>0</v>
      </c>
      <c r="H311" s="9">
        <v>0.66669999999999996</v>
      </c>
      <c r="I311" s="9">
        <v>-0.18784999999999999</v>
      </c>
      <c r="J311" s="9">
        <v>1.375</v>
      </c>
      <c r="K311" s="9">
        <v>-0.453024117242188</v>
      </c>
      <c r="L311" s="9">
        <v>0.3359313986749447</v>
      </c>
      <c r="M311" s="11">
        <v>0.79743539906476668</v>
      </c>
      <c r="N311" s="11">
        <v>10.799922241696974</v>
      </c>
      <c r="O311" s="11">
        <v>0.90740674075048977</v>
      </c>
      <c r="P311" s="11">
        <v>12.504764381512231</v>
      </c>
      <c r="Q311" s="7"/>
    </row>
    <row r="312" spans="1:17" ht="12.75" customHeight="1" x14ac:dyDescent="0.35">
      <c r="A312" s="6" t="s">
        <v>72</v>
      </c>
      <c r="B312" s="6" t="s">
        <v>73</v>
      </c>
      <c r="C312" s="7">
        <v>2012</v>
      </c>
      <c r="D312" s="8">
        <f t="shared" ref="D312:D317" si="53">D313-1</f>
        <v>31</v>
      </c>
      <c r="E312" s="9">
        <v>0.41613</v>
      </c>
      <c r="F312" s="9">
        <v>27.604399999999998</v>
      </c>
      <c r="G312" s="10">
        <v>1</v>
      </c>
      <c r="H312" s="9">
        <f t="shared" ref="H312:H315" si="54">H313</f>
        <v>0.33333333333333331</v>
      </c>
      <c r="I312" s="9">
        <v>0.2273</v>
      </c>
      <c r="J312" s="9">
        <v>2.7689599999999999</v>
      </c>
      <c r="K312" s="9">
        <v>0.32190000000000002</v>
      </c>
      <c r="L312" s="9">
        <v>2.0703</v>
      </c>
      <c r="M312" s="11">
        <v>2.5041000000000002</v>
      </c>
      <c r="N312" s="11">
        <v>33.579949999999997</v>
      </c>
      <c r="O312" s="11">
        <v>0.97021999999999997</v>
      </c>
      <c r="P312" s="11">
        <v>37.054270000000002</v>
      </c>
      <c r="Q312" s="7"/>
    </row>
    <row r="313" spans="1:17" ht="12.75" customHeight="1" x14ac:dyDescent="0.35">
      <c r="A313" s="6" t="s">
        <v>72</v>
      </c>
      <c r="B313" s="6" t="s">
        <v>73</v>
      </c>
      <c r="C313" s="7">
        <v>2013</v>
      </c>
      <c r="D313" s="8">
        <f t="shared" si="53"/>
        <v>32</v>
      </c>
      <c r="E313" s="9">
        <v>0.44630999999999998</v>
      </c>
      <c r="F313" s="9">
        <v>27.734300000000001</v>
      </c>
      <c r="G313" s="10">
        <v>1</v>
      </c>
      <c r="H313" s="9">
        <f t="shared" si="54"/>
        <v>0.33333333333333331</v>
      </c>
      <c r="I313" s="9">
        <v>0.1628</v>
      </c>
      <c r="J313" s="9">
        <v>1.8914299999999999</v>
      </c>
      <c r="K313" s="9">
        <v>0.2354</v>
      </c>
      <c r="L313" s="9">
        <v>1.8237000000000001</v>
      </c>
      <c r="M313" s="11">
        <v>2.2976899999999998</v>
      </c>
      <c r="N313" s="11">
        <v>27.174779999999998</v>
      </c>
      <c r="O313" s="11">
        <v>0.96319999999999995</v>
      </c>
      <c r="P313" s="11">
        <v>30.435680000000001</v>
      </c>
      <c r="Q313" s="7"/>
    </row>
    <row r="314" spans="1:17" ht="12.75" customHeight="1" x14ac:dyDescent="0.35">
      <c r="A314" s="6" t="s">
        <v>72</v>
      </c>
      <c r="B314" s="6" t="s">
        <v>73</v>
      </c>
      <c r="C314" s="7">
        <v>2014</v>
      </c>
      <c r="D314" s="8">
        <f t="shared" si="53"/>
        <v>33</v>
      </c>
      <c r="E314" s="9">
        <v>0.43847999999999998</v>
      </c>
      <c r="F314" s="9">
        <v>27.863600000000002</v>
      </c>
      <c r="G314" s="10">
        <v>0</v>
      </c>
      <c r="H314" s="9">
        <f t="shared" si="54"/>
        <v>0.33333333333333331</v>
      </c>
      <c r="I314" s="9">
        <v>7.6100000000000001E-2</v>
      </c>
      <c r="J314" s="9">
        <v>1.0656300000000001</v>
      </c>
      <c r="K314" s="9">
        <v>0.1094</v>
      </c>
      <c r="L314" s="9">
        <v>1.2781</v>
      </c>
      <c r="M314" s="11">
        <v>1.7235</v>
      </c>
      <c r="N314" s="11">
        <v>22.887429999999998</v>
      </c>
      <c r="O314" s="11">
        <v>0.95630999999999999</v>
      </c>
      <c r="P314" s="11">
        <v>25.567240000000002</v>
      </c>
      <c r="Q314" s="7"/>
    </row>
    <row r="315" spans="1:17" ht="12.75" customHeight="1" x14ac:dyDescent="0.35">
      <c r="A315" s="6" t="s">
        <v>72</v>
      </c>
      <c r="B315" s="6" t="s">
        <v>73</v>
      </c>
      <c r="C315" s="7">
        <v>2015</v>
      </c>
      <c r="D315" s="8">
        <f t="shared" si="53"/>
        <v>34</v>
      </c>
      <c r="E315" s="9">
        <v>0.28375</v>
      </c>
      <c r="F315" s="9">
        <v>27.9084</v>
      </c>
      <c r="G315" s="10">
        <v>0</v>
      </c>
      <c r="H315" s="9">
        <f t="shared" si="54"/>
        <v>0.33333333333333331</v>
      </c>
      <c r="I315" s="9">
        <v>5.8000000000000003E-2</v>
      </c>
      <c r="J315" s="9">
        <v>0.53171999999999997</v>
      </c>
      <c r="K315" s="9">
        <v>7.4499999999999997E-2</v>
      </c>
      <c r="L315" s="9">
        <v>1.1265000000000001</v>
      </c>
      <c r="M315" s="11">
        <v>1.36138</v>
      </c>
      <c r="N315" s="11">
        <v>23.02291</v>
      </c>
      <c r="O315" s="11">
        <v>0.95657000000000003</v>
      </c>
      <c r="P315" s="11">
        <v>25.340859999999999</v>
      </c>
      <c r="Q315" s="7"/>
    </row>
    <row r="316" spans="1:17" ht="12.75" customHeight="1" x14ac:dyDescent="0.35">
      <c r="A316" s="6" t="s">
        <v>72</v>
      </c>
      <c r="B316" s="6" t="s">
        <v>73</v>
      </c>
      <c r="C316" s="7">
        <v>2016</v>
      </c>
      <c r="D316" s="8">
        <f t="shared" si="53"/>
        <v>35</v>
      </c>
      <c r="E316" s="9">
        <v>0.16939000000000001</v>
      </c>
      <c r="F316" s="9">
        <v>27.9038</v>
      </c>
      <c r="G316" s="10">
        <v>0</v>
      </c>
      <c r="H316" s="9">
        <v>0.33333333333333331</v>
      </c>
      <c r="I316" s="9">
        <v>9.7799999999999998E-2</v>
      </c>
      <c r="J316" s="9">
        <v>1.27538</v>
      </c>
      <c r="K316" s="9">
        <v>0.1144</v>
      </c>
      <c r="L316" s="9">
        <v>0.9385</v>
      </c>
      <c r="M316" s="11">
        <v>0.98736000000000002</v>
      </c>
      <c r="N316" s="11">
        <v>16.332159999999998</v>
      </c>
      <c r="O316" s="11">
        <v>0.93876999999999999</v>
      </c>
      <c r="P316" s="11">
        <v>18.258289999999999</v>
      </c>
      <c r="Q316" s="7"/>
    </row>
    <row r="317" spans="1:17" ht="12.75" customHeight="1" x14ac:dyDescent="0.35">
      <c r="A317" s="6" t="s">
        <v>72</v>
      </c>
      <c r="B317" s="6" t="s">
        <v>73</v>
      </c>
      <c r="C317" s="7">
        <v>2017</v>
      </c>
      <c r="D317" s="8">
        <f t="shared" si="53"/>
        <v>36</v>
      </c>
      <c r="E317" s="9">
        <v>0.18543999999999999</v>
      </c>
      <c r="F317" s="9">
        <v>27.984000000000002</v>
      </c>
      <c r="G317" s="10">
        <v>0</v>
      </c>
      <c r="H317" s="9">
        <v>0.66666666666666663</v>
      </c>
      <c r="I317" s="9">
        <v>0.1298</v>
      </c>
      <c r="J317" s="9">
        <v>1.2946599999999999</v>
      </c>
      <c r="K317" s="9">
        <v>0.15390000000000001</v>
      </c>
      <c r="L317" s="9">
        <v>0.79730000000000001</v>
      </c>
      <c r="M317" s="11">
        <v>0.79129000000000005</v>
      </c>
      <c r="N317" s="11">
        <v>13.258459999999999</v>
      </c>
      <c r="O317" s="11">
        <v>0.92457999999999996</v>
      </c>
      <c r="P317" s="11">
        <v>14.974320000000001</v>
      </c>
      <c r="Q317" s="7"/>
    </row>
    <row r="318" spans="1:17" ht="12.75" customHeight="1" x14ac:dyDescent="0.35">
      <c r="A318" s="6" t="s">
        <v>72</v>
      </c>
      <c r="B318" s="6" t="s">
        <v>73</v>
      </c>
      <c r="C318" s="7">
        <v>2018</v>
      </c>
      <c r="D318" s="8">
        <v>37</v>
      </c>
      <c r="E318" s="9">
        <v>0.35199999999999998</v>
      </c>
      <c r="F318" s="9">
        <v>28.178999999999998</v>
      </c>
      <c r="G318" s="17">
        <v>0</v>
      </c>
      <c r="H318" s="9">
        <v>0.33329999999999999</v>
      </c>
      <c r="I318" s="9">
        <v>6.0000000000000001E-3</v>
      </c>
      <c r="J318" s="9">
        <v>1.302</v>
      </c>
      <c r="K318" s="9">
        <v>8.0000000000000002E-3</v>
      </c>
      <c r="L318" s="9">
        <v>0.48599999999999999</v>
      </c>
      <c r="M318" s="11">
        <v>0.68923999999999996</v>
      </c>
      <c r="N318" s="11">
        <v>10.30735</v>
      </c>
      <c r="O318" s="11">
        <v>0.90298</v>
      </c>
      <c r="P318" s="11">
        <v>11.899570000000001</v>
      </c>
      <c r="Q318" s="7"/>
    </row>
    <row r="319" spans="1:17" ht="12.75" customHeight="1" x14ac:dyDescent="0.35">
      <c r="A319" s="6" t="s">
        <v>72</v>
      </c>
      <c r="B319" s="6" t="s">
        <v>73</v>
      </c>
      <c r="C319" s="7">
        <v>2019</v>
      </c>
      <c r="D319" s="8">
        <v>38</v>
      </c>
      <c r="E319" s="9">
        <v>0.35299999999999998</v>
      </c>
      <c r="F319" s="9">
        <v>28.193999999999999</v>
      </c>
      <c r="G319" s="17">
        <v>0</v>
      </c>
      <c r="H319" s="9">
        <v>0.33329999999999999</v>
      </c>
      <c r="I319" s="9">
        <v>4.2999999999999997E-2</v>
      </c>
      <c r="J319" s="9">
        <v>0.93300000000000005</v>
      </c>
      <c r="K319" s="9">
        <v>5.8000000000000003E-2</v>
      </c>
      <c r="L319" s="9">
        <v>0.90900000000000003</v>
      </c>
      <c r="M319" s="11">
        <v>1.2101999999999999</v>
      </c>
      <c r="N319" s="11">
        <v>18.218879999999999</v>
      </c>
      <c r="O319" s="11">
        <v>0.94511000000000001</v>
      </c>
      <c r="P319" s="11">
        <v>20.374179999999999</v>
      </c>
      <c r="Q319" s="7"/>
    </row>
    <row r="320" spans="1:17" ht="12.75" customHeight="1" x14ac:dyDescent="0.35">
      <c r="A320" s="6" t="s">
        <v>72</v>
      </c>
      <c r="B320" s="6" t="s">
        <v>73</v>
      </c>
      <c r="C320" s="7">
        <v>2020</v>
      </c>
      <c r="D320" s="8">
        <v>39</v>
      </c>
      <c r="E320" s="9">
        <v>0.28999999999999998</v>
      </c>
      <c r="F320" s="9">
        <v>28.058</v>
      </c>
      <c r="G320" s="17">
        <v>0</v>
      </c>
      <c r="H320" s="9">
        <v>0.66669999999999996</v>
      </c>
      <c r="I320" s="9">
        <v>-0.08</v>
      </c>
      <c r="J320" s="9">
        <v>1.0920000000000001</v>
      </c>
      <c r="K320" s="9">
        <v>-0.10299999999999999</v>
      </c>
      <c r="L320" s="9">
        <v>0.66400000000000003</v>
      </c>
      <c r="M320" s="11">
        <v>0.94537000000000004</v>
      </c>
      <c r="N320" s="11">
        <v>14.39761</v>
      </c>
      <c r="O320" s="11">
        <v>0.93054000000000003</v>
      </c>
      <c r="P320" s="11">
        <v>16.273520000000001</v>
      </c>
      <c r="Q320" s="7"/>
    </row>
    <row r="321" spans="1:17" ht="12.75" customHeight="1" x14ac:dyDescent="0.35">
      <c r="A321" s="6" t="s">
        <v>72</v>
      </c>
      <c r="B321" s="6" t="s">
        <v>73</v>
      </c>
      <c r="C321" s="7">
        <v>2021</v>
      </c>
      <c r="D321" s="8">
        <v>40</v>
      </c>
      <c r="E321" s="9">
        <v>0.33600000000000002</v>
      </c>
      <c r="F321" s="9">
        <v>28.265999999999998</v>
      </c>
      <c r="G321" s="17">
        <v>0</v>
      </c>
      <c r="H321" s="9">
        <v>0.66669999999999996</v>
      </c>
      <c r="I321" s="9">
        <v>0.17399999999999999</v>
      </c>
      <c r="J321" s="9">
        <v>0.95099999999999996</v>
      </c>
      <c r="K321" s="9">
        <v>0.23300000000000001</v>
      </c>
      <c r="L321" s="9">
        <v>1.23</v>
      </c>
      <c r="M321" s="11">
        <v>1.0164299999999999</v>
      </c>
      <c r="N321" s="11">
        <v>20.279509999999998</v>
      </c>
      <c r="O321" s="11">
        <v>0.95069000000000004</v>
      </c>
      <c r="P321" s="11">
        <v>22.24663</v>
      </c>
      <c r="Q321" s="7"/>
    </row>
    <row r="322" spans="1:17" ht="12.75" customHeight="1" x14ac:dyDescent="0.35">
      <c r="A322" s="6" t="s">
        <v>72</v>
      </c>
      <c r="B322" s="6" t="s">
        <v>73</v>
      </c>
      <c r="C322" s="7">
        <v>2022</v>
      </c>
      <c r="D322" s="8">
        <v>41</v>
      </c>
      <c r="E322" s="9">
        <v>0.38400000000000001</v>
      </c>
      <c r="F322" s="9">
        <v>28.616</v>
      </c>
      <c r="G322" s="17">
        <v>0</v>
      </c>
      <c r="H322" s="9">
        <v>0.33329999999999999</v>
      </c>
      <c r="I322" s="9">
        <v>0.22900000000000001</v>
      </c>
      <c r="J322" s="9">
        <v>1.0249999999999999</v>
      </c>
      <c r="K322" s="9">
        <v>0.318</v>
      </c>
      <c r="L322" s="9">
        <v>1.498</v>
      </c>
      <c r="M322" s="11">
        <v>1.60937</v>
      </c>
      <c r="N322" s="11">
        <v>24.414480000000001</v>
      </c>
      <c r="O322" s="11">
        <v>0.95904</v>
      </c>
      <c r="P322" s="11">
        <v>26.982890000000001</v>
      </c>
      <c r="Q322" s="7"/>
    </row>
    <row r="323" spans="1:17" ht="12.75" customHeight="1" x14ac:dyDescent="0.35">
      <c r="A323" s="6" t="s">
        <v>74</v>
      </c>
      <c r="B323" s="6" t="s">
        <v>75</v>
      </c>
      <c r="C323" s="7">
        <v>2015</v>
      </c>
      <c r="D323" s="8">
        <f t="shared" ref="D323:D325" si="55">D324-1</f>
        <v>34</v>
      </c>
      <c r="E323" s="9">
        <v>0.55671000000000004</v>
      </c>
      <c r="F323" s="9">
        <v>25.854800000000001</v>
      </c>
      <c r="G323" s="10">
        <v>0</v>
      </c>
      <c r="H323" s="9">
        <f>H324</f>
        <v>1</v>
      </c>
      <c r="I323" s="9">
        <v>0.1026</v>
      </c>
      <c r="J323" s="9">
        <v>2.7065199999999998</v>
      </c>
      <c r="K323" s="9">
        <v>0.15970000000000001</v>
      </c>
      <c r="L323" s="9">
        <v>1.1724000000000001</v>
      </c>
      <c r="M323" s="11">
        <v>1.5905400000000001</v>
      </c>
      <c r="N323" s="11">
        <v>25.086929999999999</v>
      </c>
      <c r="O323" s="11">
        <v>0.96013999999999999</v>
      </c>
      <c r="P323" s="11">
        <v>27.637609999999999</v>
      </c>
      <c r="Q323" s="7"/>
    </row>
    <row r="324" spans="1:17" ht="12.75" customHeight="1" x14ac:dyDescent="0.35">
      <c r="A324" s="6" t="s">
        <v>74</v>
      </c>
      <c r="B324" s="6" t="s">
        <v>75</v>
      </c>
      <c r="C324" s="7">
        <v>2016</v>
      </c>
      <c r="D324" s="8">
        <f t="shared" si="55"/>
        <v>35</v>
      </c>
      <c r="E324" s="9">
        <v>0.32384000000000002</v>
      </c>
      <c r="F324" s="9">
        <v>25.878299999999999</v>
      </c>
      <c r="G324" s="10">
        <v>0</v>
      </c>
      <c r="H324" s="9">
        <v>1</v>
      </c>
      <c r="I324" s="9">
        <v>0.1087</v>
      </c>
      <c r="J324" s="9">
        <v>3.0812599999999999</v>
      </c>
      <c r="K324" s="9">
        <v>0.1439</v>
      </c>
      <c r="L324" s="9">
        <v>1.0611999999999999</v>
      </c>
      <c r="M324" s="11">
        <v>1.153</v>
      </c>
      <c r="N324" s="11">
        <v>21.67268</v>
      </c>
      <c r="O324" s="11">
        <v>0.95386000000000004</v>
      </c>
      <c r="P324" s="11">
        <v>23.779540000000001</v>
      </c>
      <c r="Q324" s="7"/>
    </row>
    <row r="325" spans="1:17" ht="12.75" customHeight="1" x14ac:dyDescent="0.35">
      <c r="A325" s="6" t="s">
        <v>74</v>
      </c>
      <c r="B325" s="6" t="s">
        <v>75</v>
      </c>
      <c r="C325" s="7">
        <v>2017</v>
      </c>
      <c r="D325" s="8">
        <f t="shared" si="55"/>
        <v>36</v>
      </c>
      <c r="E325" s="9">
        <v>0.22019</v>
      </c>
      <c r="F325" s="9">
        <v>25.7972</v>
      </c>
      <c r="G325" s="10">
        <v>0</v>
      </c>
      <c r="H325" s="9">
        <v>0.66666666666666663</v>
      </c>
      <c r="I325" s="9">
        <v>6.6E-3</v>
      </c>
      <c r="J325" s="9">
        <v>3.4094500000000001</v>
      </c>
      <c r="K325" s="9">
        <v>8.0000000000000002E-3</v>
      </c>
      <c r="L325" s="9">
        <v>1.2165999999999999</v>
      </c>
      <c r="M325" s="11">
        <v>1.4027700000000001</v>
      </c>
      <c r="N325" s="11">
        <v>17.439990000000002</v>
      </c>
      <c r="O325" s="11">
        <v>0.94266000000000005</v>
      </c>
      <c r="P325" s="11">
        <v>19.785419999999998</v>
      </c>
      <c r="Q325" s="7"/>
    </row>
    <row r="326" spans="1:17" ht="12.75" customHeight="1" x14ac:dyDescent="0.35">
      <c r="A326" s="6" t="s">
        <v>74</v>
      </c>
      <c r="B326" s="6" t="s">
        <v>75</v>
      </c>
      <c r="C326" s="7">
        <v>2018</v>
      </c>
      <c r="D326" s="8">
        <v>37</v>
      </c>
      <c r="E326" s="9">
        <v>0.83399999999999996</v>
      </c>
      <c r="F326" s="9">
        <v>25.716000000000001</v>
      </c>
      <c r="G326" s="17">
        <v>0</v>
      </c>
      <c r="H326" s="9">
        <v>0.66669999999999996</v>
      </c>
      <c r="I326" s="9">
        <v>-0.34499999999999997</v>
      </c>
      <c r="J326" s="9">
        <v>3.911</v>
      </c>
      <c r="K326" s="9">
        <v>-0.63200000000000001</v>
      </c>
      <c r="L326" s="9">
        <v>0.56499999999999995</v>
      </c>
      <c r="M326" s="11">
        <v>1.38409</v>
      </c>
      <c r="N326" s="11">
        <v>9.8692600000000006</v>
      </c>
      <c r="O326" s="11">
        <v>0.89868000000000003</v>
      </c>
      <c r="P326" s="11">
        <v>12.15203</v>
      </c>
      <c r="Q326" s="7"/>
    </row>
    <row r="327" spans="1:17" ht="12.75" customHeight="1" x14ac:dyDescent="0.35">
      <c r="A327" s="6" t="s">
        <v>74</v>
      </c>
      <c r="B327" s="6" t="s">
        <v>75</v>
      </c>
      <c r="C327" s="7">
        <v>2019</v>
      </c>
      <c r="D327" s="8">
        <v>38</v>
      </c>
      <c r="E327" s="9">
        <v>0.71799999999999997</v>
      </c>
      <c r="F327" s="9">
        <v>25.725999999999999</v>
      </c>
      <c r="G327" s="17">
        <v>0</v>
      </c>
      <c r="H327" s="9">
        <v>0.66669999999999996</v>
      </c>
      <c r="I327" s="9">
        <v>4.5999999999999999E-2</v>
      </c>
      <c r="J327" s="9">
        <v>3.323</v>
      </c>
      <c r="K327" s="9">
        <v>7.9000000000000001E-2</v>
      </c>
      <c r="L327" s="9">
        <v>1.2629999999999999</v>
      </c>
      <c r="M327" s="11">
        <v>2.1042299999999998</v>
      </c>
      <c r="N327" s="11">
        <v>16.05217</v>
      </c>
      <c r="O327" s="11">
        <v>0.93769999999999998</v>
      </c>
      <c r="P327" s="11">
        <v>19.094100000000001</v>
      </c>
      <c r="Q327" s="7"/>
    </row>
    <row r="328" spans="1:17" ht="12.75" customHeight="1" x14ac:dyDescent="0.35">
      <c r="A328" s="6" t="s">
        <v>74</v>
      </c>
      <c r="B328" s="6" t="s">
        <v>75</v>
      </c>
      <c r="C328" s="7">
        <v>2020</v>
      </c>
      <c r="D328" s="8">
        <v>39</v>
      </c>
      <c r="E328" s="9">
        <v>1.1220000000000001</v>
      </c>
      <c r="F328" s="9">
        <v>25.946000000000002</v>
      </c>
      <c r="G328" s="17">
        <v>0</v>
      </c>
      <c r="H328" s="9">
        <v>0.66669999999999996</v>
      </c>
      <c r="I328" s="9">
        <v>5.0000000000000001E-3</v>
      </c>
      <c r="J328" s="9">
        <v>2.4279999999999999</v>
      </c>
      <c r="K328" s="9">
        <v>1.0999999999999999E-2</v>
      </c>
      <c r="L328" s="9">
        <v>1.069</v>
      </c>
      <c r="M328" s="11">
        <v>2.29461</v>
      </c>
      <c r="N328" s="11">
        <v>15.93089</v>
      </c>
      <c r="O328" s="11">
        <v>0.93723000000000001</v>
      </c>
      <c r="P328" s="11">
        <v>19.16273</v>
      </c>
      <c r="Q328" s="7"/>
    </row>
    <row r="329" spans="1:17" ht="12.75" customHeight="1" x14ac:dyDescent="0.35">
      <c r="A329" s="6" t="s">
        <v>74</v>
      </c>
      <c r="B329" s="6" t="s">
        <v>75</v>
      </c>
      <c r="C329" s="7">
        <v>2021</v>
      </c>
      <c r="D329" s="8">
        <v>40</v>
      </c>
      <c r="E329" s="9">
        <v>0.55300000000000005</v>
      </c>
      <c r="F329" s="9">
        <v>25.658999999999999</v>
      </c>
      <c r="G329" s="17">
        <v>0</v>
      </c>
      <c r="H329" s="9">
        <v>0.66669999999999996</v>
      </c>
      <c r="I329" s="9">
        <v>1.2999999999999999E-2</v>
      </c>
      <c r="J329" s="9">
        <v>3.5870000000000002</v>
      </c>
      <c r="K329" s="9">
        <v>2.1000000000000001E-2</v>
      </c>
      <c r="L329" s="9">
        <v>1.3540000000000001</v>
      </c>
      <c r="M329" s="11">
        <v>2.1392699999999998</v>
      </c>
      <c r="N329" s="11">
        <v>15.64621</v>
      </c>
      <c r="O329" s="11">
        <v>0.93608999999999998</v>
      </c>
      <c r="P329" s="11">
        <v>18.72157</v>
      </c>
      <c r="Q329" s="7"/>
    </row>
    <row r="330" spans="1:17" ht="12.75" customHeight="1" x14ac:dyDescent="0.35">
      <c r="A330" s="6" t="s">
        <v>74</v>
      </c>
      <c r="B330" s="6" t="s">
        <v>75</v>
      </c>
      <c r="C330" s="7">
        <v>2022</v>
      </c>
      <c r="D330" s="8">
        <v>41</v>
      </c>
      <c r="E330" s="9">
        <v>1.6319999999999999</v>
      </c>
      <c r="F330" s="9">
        <v>26.274999999999999</v>
      </c>
      <c r="G330" s="17">
        <v>0</v>
      </c>
      <c r="H330" s="9">
        <v>0.66669999999999996</v>
      </c>
      <c r="I330" s="9">
        <v>2.7E-2</v>
      </c>
      <c r="J330" s="9">
        <v>2.298</v>
      </c>
      <c r="K330" s="9">
        <v>7.0999999999999994E-2</v>
      </c>
      <c r="L330" s="9">
        <v>0.71499999999999997</v>
      </c>
      <c r="M330" s="11">
        <v>1.8677299999999999</v>
      </c>
      <c r="N330" s="11">
        <v>12.379670000000001</v>
      </c>
      <c r="O330" s="11">
        <v>0.91922000000000004</v>
      </c>
      <c r="P330" s="11">
        <v>15.16663</v>
      </c>
      <c r="Q330" s="7"/>
    </row>
    <row r="331" spans="1:17" ht="12.75" customHeight="1" x14ac:dyDescent="0.35">
      <c r="A331" s="6" t="s">
        <v>76</v>
      </c>
      <c r="B331" s="6" t="s">
        <v>77</v>
      </c>
      <c r="C331" s="7">
        <v>2013</v>
      </c>
      <c r="D331" s="8">
        <f t="shared" ref="D331:D335" si="56">D332-1</f>
        <v>18</v>
      </c>
      <c r="E331" s="9">
        <v>1.10564</v>
      </c>
      <c r="F331" s="9">
        <v>28.532800000000002</v>
      </c>
      <c r="G331" s="10">
        <v>1</v>
      </c>
      <c r="H331" s="9">
        <f t="shared" ref="H331:H333" si="57">H332</f>
        <v>0.66666666666666663</v>
      </c>
      <c r="I331" s="9">
        <v>6.9800000000000001E-2</v>
      </c>
      <c r="J331" s="9">
        <v>0.49077999999999999</v>
      </c>
      <c r="K331" s="9">
        <v>0.14699999999999999</v>
      </c>
      <c r="L331" s="9">
        <v>0.25030000000000002</v>
      </c>
      <c r="M331" s="11">
        <v>0.34566000000000002</v>
      </c>
      <c r="N331" s="11">
        <v>4.0917700000000004</v>
      </c>
      <c r="O331" s="11">
        <v>0.75561</v>
      </c>
      <c r="P331" s="11">
        <v>5.1930399999999999</v>
      </c>
      <c r="Q331" s="7"/>
    </row>
    <row r="332" spans="1:17" ht="12.75" customHeight="1" x14ac:dyDescent="0.35">
      <c r="A332" s="6" t="s">
        <v>76</v>
      </c>
      <c r="B332" s="6" t="s">
        <v>77</v>
      </c>
      <c r="C332" s="7">
        <v>2014</v>
      </c>
      <c r="D332" s="8">
        <f t="shared" si="56"/>
        <v>19</v>
      </c>
      <c r="E332" s="9">
        <v>1.01003</v>
      </c>
      <c r="F332" s="9">
        <v>28.7666</v>
      </c>
      <c r="G332" s="10">
        <v>1</v>
      </c>
      <c r="H332" s="9">
        <f t="shared" si="57"/>
        <v>0.66666666666666663</v>
      </c>
      <c r="I332" s="9">
        <v>7.6200000000000004E-2</v>
      </c>
      <c r="J332" s="9">
        <v>0.53078000000000003</v>
      </c>
      <c r="K332" s="9">
        <v>0.1532</v>
      </c>
      <c r="L332" s="9">
        <v>0.26329999999999998</v>
      </c>
      <c r="M332" s="11">
        <v>0.35882999999999998</v>
      </c>
      <c r="N332" s="11">
        <v>3.9116300000000002</v>
      </c>
      <c r="O332" s="11">
        <v>0.74434999999999996</v>
      </c>
      <c r="P332" s="11">
        <v>5.0148099999999998</v>
      </c>
      <c r="Q332" s="7"/>
    </row>
    <row r="333" spans="1:17" ht="12.75" customHeight="1" x14ac:dyDescent="0.35">
      <c r="A333" s="6" t="s">
        <v>76</v>
      </c>
      <c r="B333" s="6" t="s">
        <v>77</v>
      </c>
      <c r="C333" s="7">
        <v>2015</v>
      </c>
      <c r="D333" s="8">
        <f t="shared" si="56"/>
        <v>20</v>
      </c>
      <c r="E333" s="9">
        <v>1.1059000000000001</v>
      </c>
      <c r="F333" s="9">
        <v>28.906099999999999</v>
      </c>
      <c r="G333" s="10">
        <v>1</v>
      </c>
      <c r="H333" s="9">
        <f t="shared" si="57"/>
        <v>0.66666666666666663</v>
      </c>
      <c r="I333" s="9">
        <v>2.0000000000000001E-4</v>
      </c>
      <c r="J333" s="9">
        <v>0.57077999999999995</v>
      </c>
      <c r="K333" s="9">
        <v>4.0000000000000002E-4</v>
      </c>
      <c r="L333" s="9">
        <v>0.1764</v>
      </c>
      <c r="M333" s="11">
        <v>0.34761999999999998</v>
      </c>
      <c r="N333" s="11">
        <v>3.9640499999999999</v>
      </c>
      <c r="O333" s="11">
        <v>0.74773000000000001</v>
      </c>
      <c r="P333" s="11">
        <v>5.0594099999999997</v>
      </c>
      <c r="Q333" s="7"/>
    </row>
    <row r="334" spans="1:17" ht="12.75" customHeight="1" x14ac:dyDescent="0.35">
      <c r="A334" s="6" t="s">
        <v>76</v>
      </c>
      <c r="B334" s="6" t="s">
        <v>77</v>
      </c>
      <c r="C334" s="7">
        <v>2016</v>
      </c>
      <c r="D334" s="8">
        <f t="shared" si="56"/>
        <v>21</v>
      </c>
      <c r="E334" s="9">
        <v>1.0764199999999999</v>
      </c>
      <c r="F334" s="9">
        <v>28.715199999999999</v>
      </c>
      <c r="G334" s="10">
        <v>1</v>
      </c>
      <c r="H334" s="9">
        <v>0.66666666666666663</v>
      </c>
      <c r="I334" s="9">
        <v>-9.4299999999999995E-2</v>
      </c>
      <c r="J334" s="9">
        <v>0.61077999999999999</v>
      </c>
      <c r="K334" s="9">
        <v>-0.19589999999999999</v>
      </c>
      <c r="L334" s="9">
        <v>0.14630000000000001</v>
      </c>
      <c r="M334" s="11">
        <v>0.45321</v>
      </c>
      <c r="N334" s="11">
        <v>5.46591</v>
      </c>
      <c r="O334" s="11">
        <v>0.81705000000000005</v>
      </c>
      <c r="P334" s="11">
        <v>6.7361599999999999</v>
      </c>
      <c r="Q334" s="7"/>
    </row>
    <row r="335" spans="1:17" ht="12.75" customHeight="1" x14ac:dyDescent="0.35">
      <c r="A335" s="6" t="s">
        <v>76</v>
      </c>
      <c r="B335" s="6" t="s">
        <v>77</v>
      </c>
      <c r="C335" s="7">
        <v>2017</v>
      </c>
      <c r="D335" s="8">
        <f t="shared" si="56"/>
        <v>22</v>
      </c>
      <c r="E335" s="9">
        <v>1.1382099999999999</v>
      </c>
      <c r="F335" s="9">
        <v>28.642099999999999</v>
      </c>
      <c r="G335" s="10">
        <v>1</v>
      </c>
      <c r="H335" s="9">
        <v>0.66666666666666663</v>
      </c>
      <c r="I335" s="9">
        <v>-9.9500000000000005E-2</v>
      </c>
      <c r="J335" s="9">
        <v>0.64871000000000001</v>
      </c>
      <c r="K335" s="9">
        <v>-0.21260000000000001</v>
      </c>
      <c r="L335" s="9">
        <v>0.1331</v>
      </c>
      <c r="M335" s="11">
        <v>0.43606</v>
      </c>
      <c r="N335" s="11">
        <v>5.58141</v>
      </c>
      <c r="O335" s="11">
        <v>0.82082999999999995</v>
      </c>
      <c r="P335" s="11">
        <v>6.8383099999999999</v>
      </c>
      <c r="Q335" s="7"/>
    </row>
    <row r="336" spans="1:17" ht="12.75" customHeight="1" x14ac:dyDescent="0.35">
      <c r="A336" s="6" t="s">
        <v>76</v>
      </c>
      <c r="B336" s="6" t="s">
        <v>77</v>
      </c>
      <c r="C336" s="7">
        <v>2018</v>
      </c>
      <c r="D336" s="8">
        <v>23</v>
      </c>
      <c r="E336" s="9">
        <v>2.1709999999999998</v>
      </c>
      <c r="F336" s="9">
        <v>28.468</v>
      </c>
      <c r="G336" s="17">
        <v>0</v>
      </c>
      <c r="H336" s="9">
        <v>0.66669999999999996</v>
      </c>
      <c r="I336" s="9">
        <v>-0.28999999999999998</v>
      </c>
      <c r="J336" s="9">
        <v>0.77400000000000002</v>
      </c>
      <c r="K336" s="9">
        <v>-0.91800000000000004</v>
      </c>
      <c r="L336" s="9">
        <v>0.17199999999999999</v>
      </c>
      <c r="M336" s="11">
        <v>1.33883</v>
      </c>
      <c r="N336" s="11">
        <v>9.1879200000000001</v>
      </c>
      <c r="O336" s="11">
        <v>0.89115999999999995</v>
      </c>
      <c r="P336" s="11">
        <v>11.417909999999999</v>
      </c>
      <c r="Q336" s="7"/>
    </row>
    <row r="337" spans="1:17" ht="12.75" customHeight="1" x14ac:dyDescent="0.35">
      <c r="A337" s="6" t="s">
        <v>76</v>
      </c>
      <c r="B337" s="6" t="s">
        <v>77</v>
      </c>
      <c r="C337" s="7">
        <v>2019</v>
      </c>
      <c r="D337" s="8">
        <v>24</v>
      </c>
      <c r="E337" s="9">
        <v>2.7250000000000001</v>
      </c>
      <c r="F337" s="9">
        <v>28.372</v>
      </c>
      <c r="G337" s="17">
        <v>1</v>
      </c>
      <c r="H337" s="9">
        <v>0.66669999999999996</v>
      </c>
      <c r="I337" s="9">
        <v>-5.7000000000000002E-2</v>
      </c>
      <c r="J337" s="9">
        <v>0.82799999999999996</v>
      </c>
      <c r="K337" s="9">
        <v>-0.21099999999999999</v>
      </c>
      <c r="L337" s="9">
        <v>0.154</v>
      </c>
      <c r="M337" s="11">
        <v>0.77971999999999997</v>
      </c>
      <c r="N337" s="11">
        <v>4.4252599999999997</v>
      </c>
      <c r="O337" s="11">
        <v>0.77402000000000004</v>
      </c>
      <c r="P337" s="11">
        <v>5.9790000000000001</v>
      </c>
      <c r="Q337" s="7"/>
    </row>
    <row r="338" spans="1:17" ht="12.75" customHeight="1" x14ac:dyDescent="0.35">
      <c r="A338" s="6" t="s">
        <v>76</v>
      </c>
      <c r="B338" s="6" t="s">
        <v>77</v>
      </c>
      <c r="C338" s="7">
        <v>2020</v>
      </c>
      <c r="D338" s="8">
        <v>25</v>
      </c>
      <c r="E338" s="9">
        <v>2.738</v>
      </c>
      <c r="F338" s="9">
        <v>28.32</v>
      </c>
      <c r="G338" s="17">
        <v>1</v>
      </c>
      <c r="H338" s="9">
        <v>0.66669999999999996</v>
      </c>
      <c r="I338" s="9">
        <v>-1.9E-2</v>
      </c>
      <c r="J338" s="9">
        <v>0.83399999999999996</v>
      </c>
      <c r="K338" s="9">
        <v>-7.0999999999999994E-2</v>
      </c>
      <c r="L338" s="9">
        <v>0.156</v>
      </c>
      <c r="M338" s="11">
        <v>0.82779000000000003</v>
      </c>
      <c r="N338" s="11">
        <v>4.66547</v>
      </c>
      <c r="O338" s="11">
        <v>0.78566000000000003</v>
      </c>
      <c r="P338" s="11">
        <v>6.2789099999999998</v>
      </c>
      <c r="Q338" s="7"/>
    </row>
    <row r="339" spans="1:17" ht="12.75" customHeight="1" x14ac:dyDescent="0.35">
      <c r="A339" s="6" t="s">
        <v>76</v>
      </c>
      <c r="B339" s="6" t="s">
        <v>77</v>
      </c>
      <c r="C339" s="7">
        <v>2021</v>
      </c>
      <c r="D339" s="8">
        <v>26</v>
      </c>
      <c r="E339" s="9">
        <v>2.8820000000000001</v>
      </c>
      <c r="F339" s="9">
        <v>28.298999999999999</v>
      </c>
      <c r="G339" s="17">
        <v>0</v>
      </c>
      <c r="H339" s="9">
        <v>1</v>
      </c>
      <c r="I339" s="9">
        <v>-1.9E-2</v>
      </c>
      <c r="J339" s="9">
        <v>0.85899999999999999</v>
      </c>
      <c r="K339" s="9">
        <v>-7.4999999999999997E-2</v>
      </c>
      <c r="L339" s="9">
        <v>0.21</v>
      </c>
      <c r="M339" s="11">
        <v>0.94991000000000003</v>
      </c>
      <c r="N339" s="11">
        <v>4.3571</v>
      </c>
      <c r="O339" s="11">
        <v>0.77049000000000001</v>
      </c>
      <c r="P339" s="11">
        <v>6.0774999999999997</v>
      </c>
      <c r="Q339" s="7"/>
    </row>
    <row r="340" spans="1:17" ht="12.75" customHeight="1" x14ac:dyDescent="0.35">
      <c r="A340" s="6" t="s">
        <v>76</v>
      </c>
      <c r="B340" s="6" t="s">
        <v>77</v>
      </c>
      <c r="C340" s="7">
        <v>2022</v>
      </c>
      <c r="D340" s="8">
        <v>27</v>
      </c>
      <c r="E340" s="9">
        <v>3.5880000000000001</v>
      </c>
      <c r="F340" s="9">
        <v>28.375</v>
      </c>
      <c r="G340" s="17">
        <v>1</v>
      </c>
      <c r="H340" s="9">
        <v>0.66669999999999996</v>
      </c>
      <c r="I340" s="9">
        <v>-4.4999999999999998E-2</v>
      </c>
      <c r="J340" s="9">
        <v>0.91300000000000003</v>
      </c>
      <c r="K340" s="9">
        <v>-0.20499999999999999</v>
      </c>
      <c r="L340" s="9">
        <v>0.221</v>
      </c>
      <c r="M340" s="11">
        <v>1.17683</v>
      </c>
      <c r="N340" s="11">
        <v>4.5193000000000003</v>
      </c>
      <c r="O340" s="11">
        <v>0.77873000000000003</v>
      </c>
      <c r="P340" s="11">
        <v>6.4748599999999996</v>
      </c>
      <c r="Q340" s="7"/>
    </row>
    <row r="341" spans="1:17" ht="12.75" customHeight="1" x14ac:dyDescent="0.35">
      <c r="A341" s="6" t="s">
        <v>78</v>
      </c>
      <c r="B341" s="6" t="s">
        <v>79</v>
      </c>
      <c r="C341" s="7">
        <v>2014</v>
      </c>
      <c r="D341" s="8">
        <f t="shared" ref="D341:D344" si="58">D342-1</f>
        <v>22</v>
      </c>
      <c r="E341" s="9">
        <v>0.73475000000000001</v>
      </c>
      <c r="F341" s="9">
        <v>27.584499999999998</v>
      </c>
      <c r="G341" s="10">
        <v>1</v>
      </c>
      <c r="H341" s="9">
        <f t="shared" ref="H341:H344" si="59">H342</f>
        <v>0.66669999999999996</v>
      </c>
      <c r="I341" s="9">
        <v>0.17330000000000001</v>
      </c>
      <c r="J341" s="9">
        <v>2.0346199999999999</v>
      </c>
      <c r="K341" s="9">
        <v>0.30059999999999998</v>
      </c>
      <c r="L341" s="9">
        <v>1.6031</v>
      </c>
      <c r="M341" s="11">
        <v>2.5599500000000002</v>
      </c>
      <c r="N341" s="11">
        <v>14.5983</v>
      </c>
      <c r="O341" s="11">
        <v>0.93149999999999999</v>
      </c>
      <c r="P341" s="11">
        <v>18.089749999999999</v>
      </c>
      <c r="Q341" s="7"/>
    </row>
    <row r="342" spans="1:17" ht="12.75" customHeight="1" x14ac:dyDescent="0.35">
      <c r="A342" s="6" t="s">
        <v>78</v>
      </c>
      <c r="B342" s="6" t="s">
        <v>79</v>
      </c>
      <c r="C342" s="7">
        <v>2015</v>
      </c>
      <c r="D342" s="8">
        <f t="shared" si="58"/>
        <v>23</v>
      </c>
      <c r="E342" s="9">
        <v>0.47825000000000001</v>
      </c>
      <c r="F342" s="9">
        <v>28.0108</v>
      </c>
      <c r="G342" s="10">
        <v>1</v>
      </c>
      <c r="H342" s="9">
        <f t="shared" si="59"/>
        <v>0.66669999999999996</v>
      </c>
      <c r="I342" s="9">
        <v>0.3175</v>
      </c>
      <c r="J342" s="9">
        <v>1.23186</v>
      </c>
      <c r="K342" s="9">
        <v>0.46939999999999998</v>
      </c>
      <c r="L342" s="9">
        <v>2.0072000000000001</v>
      </c>
      <c r="M342" s="11">
        <v>2.42456</v>
      </c>
      <c r="N342" s="11">
        <v>24.788039999999999</v>
      </c>
      <c r="O342" s="11">
        <v>0.95965999999999996</v>
      </c>
      <c r="P342" s="11">
        <v>28.172260000000001</v>
      </c>
      <c r="Q342" s="7"/>
    </row>
    <row r="343" spans="1:17" ht="12.75" customHeight="1" x14ac:dyDescent="0.35">
      <c r="A343" s="6" t="s">
        <v>78</v>
      </c>
      <c r="B343" s="6" t="s">
        <v>79</v>
      </c>
      <c r="C343" s="7">
        <v>2016</v>
      </c>
      <c r="D343" s="8">
        <f t="shared" si="58"/>
        <v>24</v>
      </c>
      <c r="E343" s="9">
        <v>0.27006000000000002</v>
      </c>
      <c r="F343" s="9">
        <v>28.0684</v>
      </c>
      <c r="G343" s="10">
        <v>1</v>
      </c>
      <c r="H343" s="9">
        <f t="shared" si="59"/>
        <v>0.66669999999999996</v>
      </c>
      <c r="I343" s="9">
        <v>0.23300000000000001</v>
      </c>
      <c r="J343" s="9">
        <v>1.8530599999999999</v>
      </c>
      <c r="K343" s="9">
        <v>0.2959</v>
      </c>
      <c r="L343" s="9">
        <v>1.6082000000000001</v>
      </c>
      <c r="M343" s="11">
        <v>1.73617</v>
      </c>
      <c r="N343" s="11">
        <v>20.137339999999998</v>
      </c>
      <c r="O343" s="11">
        <v>0.95033999999999996</v>
      </c>
      <c r="P343" s="11">
        <v>22.82385</v>
      </c>
      <c r="Q343" s="7"/>
    </row>
    <row r="344" spans="1:17" ht="12.75" customHeight="1" x14ac:dyDescent="0.35">
      <c r="A344" s="6" t="s">
        <v>78</v>
      </c>
      <c r="B344" s="6" t="s">
        <v>79</v>
      </c>
      <c r="C344" s="7">
        <v>2017</v>
      </c>
      <c r="D344" s="8">
        <f t="shared" si="58"/>
        <v>25</v>
      </c>
      <c r="E344" s="9">
        <v>0.31458000000000003</v>
      </c>
      <c r="F344" s="9">
        <v>28.409500000000001</v>
      </c>
      <c r="G344" s="10">
        <v>1</v>
      </c>
      <c r="H344" s="9">
        <f t="shared" si="59"/>
        <v>0.66669999999999996</v>
      </c>
      <c r="I344" s="9">
        <v>0.36470000000000002</v>
      </c>
      <c r="J344" s="9">
        <v>1.87324</v>
      </c>
      <c r="K344" s="9">
        <v>0.47939999999999999</v>
      </c>
      <c r="L344" s="9">
        <v>1.6083000000000001</v>
      </c>
      <c r="M344" s="11">
        <v>1.5562499999999999</v>
      </c>
      <c r="N344" s="11">
        <v>19.022089999999999</v>
      </c>
      <c r="O344" s="11">
        <v>0.94742999999999999</v>
      </c>
      <c r="P344" s="11">
        <v>21.525759999999998</v>
      </c>
      <c r="Q344" s="7"/>
    </row>
    <row r="345" spans="1:17" ht="12.75" customHeight="1" x14ac:dyDescent="0.35">
      <c r="A345" s="6" t="s">
        <v>78</v>
      </c>
      <c r="B345" s="6" t="s">
        <v>79</v>
      </c>
      <c r="C345" s="7">
        <v>2018</v>
      </c>
      <c r="D345" s="8">
        <v>26</v>
      </c>
      <c r="E345" s="9">
        <v>0.39700000000000002</v>
      </c>
      <c r="F345" s="9">
        <v>28.571000000000002</v>
      </c>
      <c r="G345" s="17">
        <v>1</v>
      </c>
      <c r="H345" s="9">
        <v>0.66669999999999996</v>
      </c>
      <c r="I345" s="9">
        <v>0.28999999999999998</v>
      </c>
      <c r="J345" s="9">
        <v>1.6759999999999999</v>
      </c>
      <c r="K345" s="9">
        <v>0.40500000000000003</v>
      </c>
      <c r="L345" s="9">
        <v>1.488</v>
      </c>
      <c r="M345" s="11">
        <v>1.62269</v>
      </c>
      <c r="N345" s="11">
        <v>19.935400000000001</v>
      </c>
      <c r="O345" s="11">
        <v>0.94984000000000002</v>
      </c>
      <c r="P345" s="11">
        <v>22.507919999999999</v>
      </c>
      <c r="Q345" s="7"/>
    </row>
    <row r="346" spans="1:17" ht="12.75" customHeight="1" x14ac:dyDescent="0.35">
      <c r="A346" s="6" t="s">
        <v>78</v>
      </c>
      <c r="B346" s="6" t="s">
        <v>79</v>
      </c>
      <c r="C346" s="7">
        <v>2019</v>
      </c>
      <c r="D346" s="8">
        <v>27</v>
      </c>
      <c r="E346" s="9">
        <v>0.32200000000000001</v>
      </c>
      <c r="F346" s="9">
        <v>28.614999999999998</v>
      </c>
      <c r="G346" s="17">
        <v>0</v>
      </c>
      <c r="H346" s="9">
        <v>0.66669999999999996</v>
      </c>
      <c r="I346" s="9">
        <v>0.183</v>
      </c>
      <c r="J346" s="9">
        <v>1.1519999999999999</v>
      </c>
      <c r="K346" s="9">
        <v>0.24199999999999999</v>
      </c>
      <c r="L346" s="9">
        <v>1E-3</v>
      </c>
      <c r="M346" s="11">
        <v>1.5397700000000001</v>
      </c>
      <c r="N346" s="11">
        <v>21.723610000000001</v>
      </c>
      <c r="O346" s="11">
        <v>0.95396999999999998</v>
      </c>
      <c r="P346" s="11">
        <v>24.21735</v>
      </c>
      <c r="Q346" s="7"/>
    </row>
    <row r="347" spans="1:17" ht="12.75" customHeight="1" x14ac:dyDescent="0.35">
      <c r="A347" s="6" t="s">
        <v>78</v>
      </c>
      <c r="B347" s="6" t="s">
        <v>79</v>
      </c>
      <c r="C347" s="7">
        <v>2020</v>
      </c>
      <c r="D347" s="8">
        <v>28</v>
      </c>
      <c r="E347" s="9">
        <v>0.317</v>
      </c>
      <c r="F347" s="9">
        <v>28.574000000000002</v>
      </c>
      <c r="G347" s="17">
        <v>1</v>
      </c>
      <c r="H347" s="9">
        <v>0.66669999999999996</v>
      </c>
      <c r="I347" s="9">
        <v>0.151</v>
      </c>
      <c r="J347" s="9">
        <v>1.5269999999999999</v>
      </c>
      <c r="K347" s="9">
        <v>0.19900000000000001</v>
      </c>
      <c r="L347" s="9">
        <v>1.1060000000000001</v>
      </c>
      <c r="M347" s="11">
        <v>1.27904</v>
      </c>
      <c r="N347" s="11">
        <v>17.410789999999999</v>
      </c>
      <c r="O347" s="11">
        <v>0.94255999999999995</v>
      </c>
      <c r="P347" s="11">
        <v>19.632400000000001</v>
      </c>
      <c r="Q347" s="7"/>
    </row>
    <row r="348" spans="1:17" ht="12.75" customHeight="1" x14ac:dyDescent="0.35">
      <c r="A348" s="6" t="s">
        <v>78</v>
      </c>
      <c r="B348" s="6" t="s">
        <v>79</v>
      </c>
      <c r="C348" s="7">
        <v>2021</v>
      </c>
      <c r="D348" s="8">
        <v>29</v>
      </c>
      <c r="E348" s="9">
        <v>0.28899999999999998</v>
      </c>
      <c r="F348" s="9">
        <v>28.934000000000001</v>
      </c>
      <c r="G348" s="17">
        <v>1</v>
      </c>
      <c r="H348" s="9">
        <v>0.66669999999999996</v>
      </c>
      <c r="I348" s="9">
        <v>0.39</v>
      </c>
      <c r="J348" s="9">
        <v>1.425</v>
      </c>
      <c r="K348" s="9">
        <v>0.503</v>
      </c>
      <c r="L348" s="9">
        <v>1.202</v>
      </c>
      <c r="M348" s="11">
        <v>0.95364000000000004</v>
      </c>
      <c r="N348" s="11">
        <v>19.013000000000002</v>
      </c>
      <c r="O348" s="11">
        <v>0.94740000000000002</v>
      </c>
      <c r="P348" s="11">
        <v>20.91405</v>
      </c>
      <c r="Q348" s="7"/>
    </row>
    <row r="349" spans="1:17" ht="12.75" customHeight="1" x14ac:dyDescent="0.35">
      <c r="A349" s="6" t="s">
        <v>78</v>
      </c>
      <c r="B349" s="6" t="s">
        <v>79</v>
      </c>
      <c r="C349" s="7">
        <v>2022</v>
      </c>
      <c r="D349" s="8">
        <v>30</v>
      </c>
      <c r="E349" s="9">
        <v>0.22500000000000001</v>
      </c>
      <c r="F349" s="9">
        <v>29.195</v>
      </c>
      <c r="G349" s="17">
        <v>1</v>
      </c>
      <c r="H349" s="9">
        <v>0.66669999999999996</v>
      </c>
      <c r="I349" s="9">
        <v>0.58499999999999996</v>
      </c>
      <c r="J349" s="9">
        <v>2.141</v>
      </c>
      <c r="K349" s="9">
        <v>0.71699999999999997</v>
      </c>
      <c r="L349" s="9">
        <v>1.466</v>
      </c>
      <c r="M349" s="11">
        <v>0.47710000000000002</v>
      </c>
      <c r="N349" s="11">
        <v>8.0760199999999998</v>
      </c>
      <c r="O349" s="11">
        <v>0.87617999999999996</v>
      </c>
      <c r="P349" s="11">
        <v>9.4292899999999999</v>
      </c>
      <c r="Q349" s="7"/>
    </row>
    <row r="350" spans="1:17" ht="12.75" customHeight="1" x14ac:dyDescent="0.35">
      <c r="A350" s="6" t="s">
        <v>80</v>
      </c>
      <c r="B350" s="6" t="s">
        <v>81</v>
      </c>
      <c r="C350" s="7">
        <v>2012</v>
      </c>
      <c r="D350" s="8">
        <f t="shared" ref="D350:D355" si="60">D351-1</f>
        <v>18</v>
      </c>
      <c r="E350" s="9">
        <v>0.63421000000000005</v>
      </c>
      <c r="F350" s="9">
        <v>28.8065</v>
      </c>
      <c r="G350" s="10">
        <v>1</v>
      </c>
      <c r="H350" s="9">
        <f t="shared" ref="H350:H354" si="61">H351</f>
        <v>0.66666666666666663</v>
      </c>
      <c r="I350" s="9">
        <v>0.1057</v>
      </c>
      <c r="J350" s="9">
        <v>0.90885000000000005</v>
      </c>
      <c r="K350" s="9">
        <v>0.17280000000000001</v>
      </c>
      <c r="L350" s="9">
        <v>0.40960000000000002</v>
      </c>
      <c r="M350" s="11">
        <v>0.51500000000000001</v>
      </c>
      <c r="N350" s="11">
        <v>5.8273700000000002</v>
      </c>
      <c r="O350" s="11">
        <v>0.82840000000000003</v>
      </c>
      <c r="P350" s="11">
        <v>7.1707599999999996</v>
      </c>
      <c r="Q350" s="7"/>
    </row>
    <row r="351" spans="1:17" ht="12.75" customHeight="1" x14ac:dyDescent="0.35">
      <c r="A351" s="6" t="s">
        <v>80</v>
      </c>
      <c r="B351" s="6" t="s">
        <v>81</v>
      </c>
      <c r="C351" s="7">
        <v>2013</v>
      </c>
      <c r="D351" s="8">
        <f t="shared" si="60"/>
        <v>19</v>
      </c>
      <c r="E351" s="9">
        <v>0.45928000000000002</v>
      </c>
      <c r="F351" s="9">
        <v>28.9359</v>
      </c>
      <c r="G351" s="10">
        <v>1</v>
      </c>
      <c r="H351" s="9">
        <f t="shared" si="61"/>
        <v>0.66666666666666663</v>
      </c>
      <c r="I351" s="9">
        <v>0.1085</v>
      </c>
      <c r="J351" s="9">
        <v>0.72529999999999994</v>
      </c>
      <c r="K351" s="9">
        <v>0.15840000000000001</v>
      </c>
      <c r="L351" s="9">
        <v>0.4284</v>
      </c>
      <c r="M351" s="11">
        <v>0.48904999999999998</v>
      </c>
      <c r="N351" s="11">
        <v>5.8966599999999998</v>
      </c>
      <c r="O351" s="11">
        <v>0.83040999999999998</v>
      </c>
      <c r="P351" s="11">
        <v>7.2161200000000001</v>
      </c>
      <c r="Q351" s="7"/>
    </row>
    <row r="352" spans="1:17" ht="12.75" customHeight="1" x14ac:dyDescent="0.35">
      <c r="A352" s="6" t="s">
        <v>80</v>
      </c>
      <c r="B352" s="6" t="s">
        <v>81</v>
      </c>
      <c r="C352" s="7">
        <v>2014</v>
      </c>
      <c r="D352" s="8">
        <f t="shared" si="60"/>
        <v>20</v>
      </c>
      <c r="E352" s="9">
        <v>0.38501000000000002</v>
      </c>
      <c r="F352" s="9">
        <v>29.060500000000001</v>
      </c>
      <c r="G352" s="10">
        <v>1</v>
      </c>
      <c r="H352" s="9">
        <f t="shared" si="61"/>
        <v>0.66666666666666663</v>
      </c>
      <c r="I352" s="9">
        <v>5.7200000000000001E-2</v>
      </c>
      <c r="J352" s="9">
        <v>0.67854999999999999</v>
      </c>
      <c r="K352" s="9">
        <v>7.9200000000000007E-2</v>
      </c>
      <c r="L352" s="9">
        <v>0.38469999999999999</v>
      </c>
      <c r="M352" s="11">
        <v>0.49181000000000002</v>
      </c>
      <c r="N352" s="11">
        <v>6.3892100000000003</v>
      </c>
      <c r="O352" s="11">
        <v>0.84348999999999996</v>
      </c>
      <c r="P352" s="11">
        <v>7.7245100000000004</v>
      </c>
      <c r="Q352" s="7"/>
    </row>
    <row r="353" spans="1:17" ht="12.75" customHeight="1" x14ac:dyDescent="0.35">
      <c r="A353" s="6" t="s">
        <v>80</v>
      </c>
      <c r="B353" s="6" t="s">
        <v>81</v>
      </c>
      <c r="C353" s="7">
        <v>2015</v>
      </c>
      <c r="D353" s="8">
        <f t="shared" si="60"/>
        <v>21</v>
      </c>
      <c r="E353" s="9">
        <v>0.35555999999999999</v>
      </c>
      <c r="F353" s="9">
        <v>29.0473</v>
      </c>
      <c r="G353" s="10">
        <v>1</v>
      </c>
      <c r="H353" s="9">
        <f t="shared" si="61"/>
        <v>0.66666666666666663</v>
      </c>
      <c r="I353" s="9">
        <v>-3.9300000000000002E-2</v>
      </c>
      <c r="J353" s="9">
        <v>0.37141000000000002</v>
      </c>
      <c r="K353" s="9">
        <v>-5.33E-2</v>
      </c>
      <c r="L353" s="9">
        <v>0.29160000000000003</v>
      </c>
      <c r="M353" s="11">
        <v>0.46085999999999999</v>
      </c>
      <c r="N353" s="11">
        <v>6.7618099999999997</v>
      </c>
      <c r="O353" s="11">
        <v>0.85211000000000003</v>
      </c>
      <c r="P353" s="11">
        <v>8.0747800000000005</v>
      </c>
      <c r="Q353" s="7"/>
    </row>
    <row r="354" spans="1:17" ht="12.75" customHeight="1" x14ac:dyDescent="0.35">
      <c r="A354" s="6" t="s">
        <v>80</v>
      </c>
      <c r="B354" s="6" t="s">
        <v>81</v>
      </c>
      <c r="C354" s="7">
        <v>2016</v>
      </c>
      <c r="D354" s="8">
        <f t="shared" si="60"/>
        <v>22</v>
      </c>
      <c r="E354" s="9">
        <v>0.32163999999999998</v>
      </c>
      <c r="F354" s="9">
        <v>28.874300000000002</v>
      </c>
      <c r="G354" s="10">
        <v>1</v>
      </c>
      <c r="H354" s="9">
        <f t="shared" si="61"/>
        <v>0.66666666666666663</v>
      </c>
      <c r="I354" s="9">
        <v>-0.1147</v>
      </c>
      <c r="J354" s="9">
        <v>0.40237000000000001</v>
      </c>
      <c r="K354" s="9">
        <v>-0.1515</v>
      </c>
      <c r="L354" s="9">
        <v>0.25240000000000001</v>
      </c>
      <c r="M354" s="11">
        <v>0.52209000000000005</v>
      </c>
      <c r="N354" s="11">
        <v>6.8326900000000004</v>
      </c>
      <c r="O354" s="11">
        <v>0.85363999999999995</v>
      </c>
      <c r="P354" s="11">
        <v>8.2084299999999999</v>
      </c>
      <c r="Q354" s="7"/>
    </row>
    <row r="355" spans="1:17" ht="12.75" customHeight="1" x14ac:dyDescent="0.35">
      <c r="A355" s="6" t="s">
        <v>80</v>
      </c>
      <c r="B355" s="6" t="s">
        <v>81</v>
      </c>
      <c r="C355" s="7">
        <v>2017</v>
      </c>
      <c r="D355" s="8">
        <f t="shared" si="60"/>
        <v>23</v>
      </c>
      <c r="E355" s="9">
        <v>0.27800000000000002</v>
      </c>
      <c r="F355" s="9">
        <v>28.810600000000001</v>
      </c>
      <c r="G355" s="10">
        <v>1</v>
      </c>
      <c r="H355" s="9">
        <v>0.66666666666666663</v>
      </c>
      <c r="I355" s="9">
        <v>-3.6900000000000002E-2</v>
      </c>
      <c r="J355" s="9">
        <v>0.53493999999999997</v>
      </c>
      <c r="K355" s="9">
        <v>-4.7100000000000003E-2</v>
      </c>
      <c r="L355" s="9">
        <v>0.28510000000000002</v>
      </c>
      <c r="M355" s="11">
        <v>0.44738</v>
      </c>
      <c r="N355" s="11">
        <v>6.2543300000000004</v>
      </c>
      <c r="O355" s="11">
        <v>0.84011000000000002</v>
      </c>
      <c r="P355" s="11">
        <v>7.54183</v>
      </c>
      <c r="Q355" s="7"/>
    </row>
    <row r="356" spans="1:17" ht="12.75" customHeight="1" x14ac:dyDescent="0.35">
      <c r="A356" s="6" t="s">
        <v>80</v>
      </c>
      <c r="B356" s="6" t="s">
        <v>81</v>
      </c>
      <c r="C356" s="7">
        <v>2018</v>
      </c>
      <c r="D356" s="8">
        <v>24</v>
      </c>
      <c r="E356" s="9">
        <v>0.39900000000000002</v>
      </c>
      <c r="F356" s="9">
        <v>28.893999999999998</v>
      </c>
      <c r="G356" s="17">
        <v>1</v>
      </c>
      <c r="H356" s="9">
        <v>0.6</v>
      </c>
      <c r="I356" s="9">
        <v>-7.1999999999999995E-2</v>
      </c>
      <c r="J356" s="9">
        <v>0.53100000000000003</v>
      </c>
      <c r="K356" s="9">
        <v>-0.1</v>
      </c>
      <c r="L356" s="9">
        <v>0.314</v>
      </c>
      <c r="M356" s="11">
        <v>0.57828000000000002</v>
      </c>
      <c r="N356" s="11">
        <v>6.8517099999999997</v>
      </c>
      <c r="O356" s="11">
        <v>0.85404999999999998</v>
      </c>
      <c r="P356" s="11">
        <v>8.2840399999999992</v>
      </c>
      <c r="Q356" s="7"/>
    </row>
    <row r="357" spans="1:17" ht="12.75" customHeight="1" x14ac:dyDescent="0.35">
      <c r="A357" s="6" t="s">
        <v>80</v>
      </c>
      <c r="B357" s="6" t="s">
        <v>81</v>
      </c>
      <c r="C357" s="7">
        <v>2019</v>
      </c>
      <c r="D357" s="8">
        <v>25</v>
      </c>
      <c r="E357" s="9">
        <v>0.26900000000000002</v>
      </c>
      <c r="F357" s="9">
        <v>28.74</v>
      </c>
      <c r="G357" s="17">
        <v>0</v>
      </c>
      <c r="H357" s="9">
        <v>0.5</v>
      </c>
      <c r="I357" s="9">
        <v>8.0000000000000002E-3</v>
      </c>
      <c r="J357" s="9">
        <v>0.49</v>
      </c>
      <c r="K357" s="9">
        <v>1.0999999999999999E-2</v>
      </c>
      <c r="L357" s="9">
        <v>0.35699999999999998</v>
      </c>
      <c r="M357" s="11">
        <v>0.48303000000000001</v>
      </c>
      <c r="N357" s="11">
        <v>5.3601799999999997</v>
      </c>
      <c r="O357" s="11">
        <v>0.81344000000000005</v>
      </c>
      <c r="P357" s="11">
        <v>6.65665</v>
      </c>
      <c r="Q357" s="7"/>
    </row>
    <row r="358" spans="1:17" ht="12.75" customHeight="1" x14ac:dyDescent="0.35">
      <c r="A358" s="6" t="s">
        <v>80</v>
      </c>
      <c r="B358" s="6" t="s">
        <v>81</v>
      </c>
      <c r="C358" s="7">
        <v>2020</v>
      </c>
      <c r="D358" s="8">
        <v>26</v>
      </c>
      <c r="E358" s="9">
        <v>0.24299999999999999</v>
      </c>
      <c r="F358" s="9">
        <v>28.641999999999999</v>
      </c>
      <c r="G358" s="17">
        <v>0</v>
      </c>
      <c r="H358" s="9">
        <v>0.6</v>
      </c>
      <c r="I358" s="9">
        <v>-7.6999999999999999E-2</v>
      </c>
      <c r="J358" s="9">
        <v>0.496</v>
      </c>
      <c r="K358" s="9">
        <v>-9.6000000000000002E-2</v>
      </c>
      <c r="L358" s="9">
        <v>0.28199999999999997</v>
      </c>
      <c r="M358" s="11">
        <v>0.47722999999999999</v>
      </c>
      <c r="N358" s="11">
        <v>5.2717700000000001</v>
      </c>
      <c r="O358" s="11">
        <v>0.81030999999999997</v>
      </c>
      <c r="P358" s="11">
        <v>6.5593199999999996</v>
      </c>
      <c r="Q358" s="7"/>
    </row>
    <row r="359" spans="1:17" ht="12.75" customHeight="1" x14ac:dyDescent="0.35">
      <c r="A359" s="6" t="s">
        <v>80</v>
      </c>
      <c r="B359" s="6" t="s">
        <v>81</v>
      </c>
      <c r="C359" s="7">
        <v>2021</v>
      </c>
      <c r="D359" s="8">
        <v>27</v>
      </c>
      <c r="E359" s="9">
        <v>0.05</v>
      </c>
      <c r="F359" s="9">
        <v>28.561</v>
      </c>
      <c r="G359" s="17">
        <v>1</v>
      </c>
      <c r="H359" s="9">
        <v>0.66669999999999996</v>
      </c>
      <c r="I359" s="9">
        <v>6.8000000000000005E-2</v>
      </c>
      <c r="J359" s="9">
        <v>0.80100000000000005</v>
      </c>
      <c r="K359" s="9">
        <v>7.1999999999999995E-2</v>
      </c>
      <c r="L359" s="9">
        <v>0.41299999999999998</v>
      </c>
      <c r="M359" s="11">
        <v>0.45992</v>
      </c>
      <c r="N359" s="11">
        <v>6.4710099999999997</v>
      </c>
      <c r="O359" s="11">
        <v>0.84545999999999999</v>
      </c>
      <c r="P359" s="11">
        <v>7.7763900000000001</v>
      </c>
      <c r="Q359" s="7"/>
    </row>
    <row r="360" spans="1:17" ht="12.75" customHeight="1" x14ac:dyDescent="0.35">
      <c r="A360" s="6" t="s">
        <v>80</v>
      </c>
      <c r="B360" s="6" t="s">
        <v>81</v>
      </c>
      <c r="C360" s="7">
        <v>2022</v>
      </c>
      <c r="D360" s="8">
        <v>28</v>
      </c>
      <c r="E360" s="9">
        <v>0.13400000000000001</v>
      </c>
      <c r="F360" s="9">
        <v>28.831</v>
      </c>
      <c r="G360" s="17">
        <v>0</v>
      </c>
      <c r="H360" s="9">
        <v>0.66669999999999996</v>
      </c>
      <c r="I360" s="9">
        <v>0.121</v>
      </c>
      <c r="J360" s="9">
        <v>0.748</v>
      </c>
      <c r="K360" s="9">
        <v>0.13700000000000001</v>
      </c>
      <c r="L360" s="9">
        <v>0.41899999999999998</v>
      </c>
      <c r="M360" s="11">
        <v>0.35137000000000002</v>
      </c>
      <c r="N360" s="11">
        <v>6.3493700000000004</v>
      </c>
      <c r="O360" s="11">
        <v>0.84250000000000003</v>
      </c>
      <c r="P360" s="11">
        <v>7.5432399999999999</v>
      </c>
      <c r="Q360" s="7"/>
    </row>
    <row r="361" spans="1:17" ht="12.75" customHeight="1" x14ac:dyDescent="0.35">
      <c r="A361" s="6" t="s">
        <v>82</v>
      </c>
      <c r="B361" s="6" t="s">
        <v>83</v>
      </c>
      <c r="C361" s="7">
        <v>2021</v>
      </c>
      <c r="D361" s="8">
        <v>16</v>
      </c>
      <c r="E361" s="9">
        <v>0.432</v>
      </c>
      <c r="F361" s="9">
        <v>29.738</v>
      </c>
      <c r="G361" s="17">
        <v>0</v>
      </c>
      <c r="H361" s="9">
        <v>0.66669999999999996</v>
      </c>
      <c r="I361" s="9">
        <v>0.47699999999999998</v>
      </c>
      <c r="J361" s="9">
        <v>1.901</v>
      </c>
      <c r="K361" s="9">
        <v>0.68300000000000005</v>
      </c>
      <c r="L361" s="9">
        <v>1.202</v>
      </c>
      <c r="M361" s="11">
        <v>0.84323999999999999</v>
      </c>
      <c r="N361" s="11">
        <v>37.006869999999999</v>
      </c>
      <c r="O361" s="11">
        <v>0.97297999999999996</v>
      </c>
      <c r="P361" s="11">
        <v>38.823079999999997</v>
      </c>
      <c r="Q361" s="7"/>
    </row>
    <row r="362" spans="1:17" ht="12.75" customHeight="1" x14ac:dyDescent="0.35">
      <c r="A362" s="6" t="s">
        <v>82</v>
      </c>
      <c r="B362" s="6" t="s">
        <v>83</v>
      </c>
      <c r="C362" s="7">
        <v>2022</v>
      </c>
      <c r="D362" s="8">
        <v>17</v>
      </c>
      <c r="E362" s="9">
        <v>0.29599999999999999</v>
      </c>
      <c r="F362" s="9">
        <v>30.077999999999999</v>
      </c>
      <c r="G362" s="17">
        <v>1</v>
      </c>
      <c r="H362" s="9">
        <v>0.66669999999999996</v>
      </c>
      <c r="I362" s="9">
        <v>0.48799999999999999</v>
      </c>
      <c r="J362" s="9">
        <v>2.375</v>
      </c>
      <c r="K362" s="9">
        <v>0.63200000000000001</v>
      </c>
      <c r="L362" s="9">
        <v>1.4490000000000001</v>
      </c>
      <c r="M362" s="11">
        <v>1.06481</v>
      </c>
      <c r="N362" s="11">
        <v>43.346029999999999</v>
      </c>
      <c r="O362" s="11">
        <v>0.97692999999999997</v>
      </c>
      <c r="P362" s="11">
        <v>45.387779999999999</v>
      </c>
      <c r="Q362" s="7"/>
    </row>
    <row r="363" spans="1:17" ht="12.75" customHeight="1" x14ac:dyDescent="0.35">
      <c r="A363" s="6" t="s">
        <v>84</v>
      </c>
      <c r="B363" s="6" t="s">
        <v>85</v>
      </c>
      <c r="C363" s="7">
        <v>2012</v>
      </c>
      <c r="D363" s="8">
        <f t="shared" ref="D363:D368" si="62">D364-1</f>
        <v>32</v>
      </c>
      <c r="E363" s="9">
        <v>2.1803699999999999</v>
      </c>
      <c r="F363" s="9">
        <v>30.846399999999999</v>
      </c>
      <c r="G363" s="10">
        <v>1</v>
      </c>
      <c r="H363" s="9">
        <f t="shared" ref="H363:H368" si="63">H364</f>
        <v>0.66669999999999996</v>
      </c>
      <c r="I363" s="9">
        <v>4.7000000000000002E-3</v>
      </c>
      <c r="J363" s="9">
        <v>0.89798999999999995</v>
      </c>
      <c r="K363" s="9">
        <v>1.5100000000000001E-2</v>
      </c>
      <c r="L363" s="9">
        <v>0.41399999999999998</v>
      </c>
      <c r="M363" s="11">
        <v>0.98914999999999997</v>
      </c>
      <c r="N363" s="11">
        <v>12.984299999999999</v>
      </c>
      <c r="O363" s="11">
        <v>0.92298000000000002</v>
      </c>
      <c r="P363" s="11">
        <v>14.896430000000001</v>
      </c>
      <c r="Q363" s="7"/>
    </row>
    <row r="364" spans="1:17" ht="12.75" customHeight="1" x14ac:dyDescent="0.35">
      <c r="A364" s="6" t="s">
        <v>84</v>
      </c>
      <c r="B364" s="6" t="s">
        <v>85</v>
      </c>
      <c r="C364" s="7">
        <v>2013</v>
      </c>
      <c r="D364" s="8">
        <f t="shared" si="62"/>
        <v>33</v>
      </c>
      <c r="E364" s="9">
        <v>1.8231599999999999</v>
      </c>
      <c r="F364" s="9">
        <v>30.906600000000001</v>
      </c>
      <c r="G364" s="10">
        <v>1</v>
      </c>
      <c r="H364" s="9">
        <f t="shared" si="63"/>
        <v>0.66669999999999996</v>
      </c>
      <c r="I364" s="9">
        <v>5.0000000000000001E-3</v>
      </c>
      <c r="J364" s="9">
        <v>0.87197999999999998</v>
      </c>
      <c r="K364" s="9">
        <v>1.4E-2</v>
      </c>
      <c r="L364" s="9">
        <v>0.35249999999999998</v>
      </c>
      <c r="M364" s="11">
        <v>0.72838000000000003</v>
      </c>
      <c r="N364" s="11">
        <v>11.515919999999999</v>
      </c>
      <c r="O364" s="11">
        <v>0.91315999999999997</v>
      </c>
      <c r="P364" s="11">
        <v>13.15747</v>
      </c>
      <c r="Q364" s="7"/>
    </row>
    <row r="365" spans="1:17" ht="12.75" customHeight="1" x14ac:dyDescent="0.35">
      <c r="A365" s="6" t="s">
        <v>84</v>
      </c>
      <c r="B365" s="6" t="s">
        <v>85</v>
      </c>
      <c r="C365" s="7">
        <v>2014</v>
      </c>
      <c r="D365" s="8">
        <f t="shared" si="62"/>
        <v>34</v>
      </c>
      <c r="E365" s="9">
        <v>2.0073300000000001</v>
      </c>
      <c r="F365" s="9">
        <v>31.087</v>
      </c>
      <c r="G365" s="10">
        <v>1</v>
      </c>
      <c r="H365" s="9">
        <f t="shared" si="63"/>
        <v>0.66669999999999996</v>
      </c>
      <c r="I365" s="9">
        <v>2E-3</v>
      </c>
      <c r="J365" s="9">
        <v>1.0494300000000001</v>
      </c>
      <c r="K365" s="9">
        <v>5.8999999999999999E-3</v>
      </c>
      <c r="L365" s="9">
        <v>0.28170000000000001</v>
      </c>
      <c r="M365" s="11">
        <v>0.64102000000000003</v>
      </c>
      <c r="N365" s="11">
        <v>9.9449400000000008</v>
      </c>
      <c r="O365" s="11">
        <v>0.89944999999999997</v>
      </c>
      <c r="P365" s="11">
        <v>11.48541</v>
      </c>
      <c r="Q365" s="7"/>
    </row>
    <row r="366" spans="1:17" ht="12.75" customHeight="1" x14ac:dyDescent="0.35">
      <c r="A366" s="6" t="s">
        <v>84</v>
      </c>
      <c r="B366" s="6" t="s">
        <v>85</v>
      </c>
      <c r="C366" s="7">
        <v>2015</v>
      </c>
      <c r="D366" s="8">
        <f t="shared" si="62"/>
        <v>35</v>
      </c>
      <c r="E366" s="9">
        <v>3.1474299999999999</v>
      </c>
      <c r="F366" s="9">
        <v>31.293800000000001</v>
      </c>
      <c r="G366" s="10">
        <v>1</v>
      </c>
      <c r="H366" s="9">
        <f t="shared" si="63"/>
        <v>0.66669999999999996</v>
      </c>
      <c r="I366" s="9">
        <v>-6.4699999999999994E-2</v>
      </c>
      <c r="J366" s="9">
        <v>0.82491000000000003</v>
      </c>
      <c r="K366" s="9">
        <v>-0.26819999999999999</v>
      </c>
      <c r="L366" s="9">
        <v>0.216</v>
      </c>
      <c r="M366" s="11">
        <v>0.99353999999999998</v>
      </c>
      <c r="N366" s="11">
        <v>13.982609999999999</v>
      </c>
      <c r="O366" s="11">
        <v>0.92847999999999997</v>
      </c>
      <c r="P366" s="11">
        <v>15.904629999999999</v>
      </c>
      <c r="Q366" s="7"/>
    </row>
    <row r="367" spans="1:17" ht="12.75" customHeight="1" x14ac:dyDescent="0.35">
      <c r="A367" s="6" t="s">
        <v>84</v>
      </c>
      <c r="B367" s="6" t="s">
        <v>85</v>
      </c>
      <c r="C367" s="7">
        <v>2016</v>
      </c>
      <c r="D367" s="8">
        <f t="shared" si="62"/>
        <v>36</v>
      </c>
      <c r="E367" s="9">
        <v>3.0394100000000002</v>
      </c>
      <c r="F367" s="9">
        <v>31.499500000000001</v>
      </c>
      <c r="G367" s="10">
        <v>1</v>
      </c>
      <c r="H367" s="9">
        <f t="shared" si="63"/>
        <v>0.66669999999999996</v>
      </c>
      <c r="I367" s="9">
        <v>5.1400000000000001E-2</v>
      </c>
      <c r="J367" s="9">
        <v>0.84350000000000003</v>
      </c>
      <c r="K367" s="9">
        <v>0.20749999999999999</v>
      </c>
      <c r="L367" s="9">
        <v>0.17480000000000001</v>
      </c>
      <c r="M367" s="11">
        <v>0.20588999999999999</v>
      </c>
      <c r="N367" s="11">
        <v>3.9523799999999998</v>
      </c>
      <c r="O367" s="11">
        <v>0.74699000000000004</v>
      </c>
      <c r="P367" s="11">
        <v>4.9052600000000002</v>
      </c>
      <c r="Q367" s="7"/>
    </row>
    <row r="368" spans="1:17" ht="12.75" customHeight="1" x14ac:dyDescent="0.35">
      <c r="A368" s="6" t="s">
        <v>84</v>
      </c>
      <c r="B368" s="6" t="s">
        <v>85</v>
      </c>
      <c r="C368" s="7">
        <v>2017</v>
      </c>
      <c r="D368" s="8">
        <f t="shared" si="62"/>
        <v>37</v>
      </c>
      <c r="E368" s="9">
        <v>2.6792500000000001</v>
      </c>
      <c r="F368" s="9">
        <v>31.878399999999999</v>
      </c>
      <c r="G368" s="10">
        <v>1</v>
      </c>
      <c r="H368" s="9">
        <f t="shared" si="63"/>
        <v>0.66669999999999996</v>
      </c>
      <c r="I368" s="9">
        <v>2.46E-2</v>
      </c>
      <c r="J368" s="9">
        <v>0.93571000000000004</v>
      </c>
      <c r="K368" s="9">
        <v>9.06E-2</v>
      </c>
      <c r="L368" s="9">
        <v>0.19020000000000001</v>
      </c>
      <c r="M368" s="11">
        <v>0.42120999999999997</v>
      </c>
      <c r="N368" s="11">
        <v>7.04908</v>
      </c>
      <c r="O368" s="11">
        <v>0.85814000000000001</v>
      </c>
      <c r="P368" s="11">
        <v>8.3284400000000005</v>
      </c>
      <c r="Q368" s="7"/>
    </row>
    <row r="369" spans="1:17" ht="12.75" customHeight="1" x14ac:dyDescent="0.35">
      <c r="A369" s="6" t="s">
        <v>84</v>
      </c>
      <c r="B369" s="6" t="s">
        <v>85</v>
      </c>
      <c r="C369" s="7">
        <v>2018</v>
      </c>
      <c r="D369" s="8">
        <v>38</v>
      </c>
      <c r="E369" s="9">
        <v>2.786</v>
      </c>
      <c r="F369" s="9">
        <v>31.981000000000002</v>
      </c>
      <c r="G369" s="17">
        <v>1</v>
      </c>
      <c r="H369" s="9">
        <v>0.66669999999999996</v>
      </c>
      <c r="I369" s="9">
        <v>-0.01</v>
      </c>
      <c r="J369" s="9">
        <v>0.89700000000000002</v>
      </c>
      <c r="K369" s="9">
        <v>-3.6999999999999998E-2</v>
      </c>
      <c r="L369" s="9">
        <v>0.248</v>
      </c>
      <c r="M369" s="11">
        <v>0.53922000000000003</v>
      </c>
      <c r="N369" s="11">
        <v>9.4319299999999995</v>
      </c>
      <c r="O369" s="11">
        <v>0.89398</v>
      </c>
      <c r="P369" s="11">
        <v>10.865130000000001</v>
      </c>
      <c r="Q369" s="7"/>
    </row>
    <row r="370" spans="1:17" ht="12.75" customHeight="1" x14ac:dyDescent="0.35">
      <c r="A370" s="6" t="s">
        <v>84</v>
      </c>
      <c r="B370" s="6" t="s">
        <v>85</v>
      </c>
      <c r="C370" s="7">
        <v>2019</v>
      </c>
      <c r="D370" s="8">
        <v>39</v>
      </c>
      <c r="E370" s="9">
        <v>3.4289999999999998</v>
      </c>
      <c r="F370" s="9">
        <v>32.055999999999997</v>
      </c>
      <c r="G370" s="17">
        <v>0</v>
      </c>
      <c r="H370" s="9">
        <v>0.75</v>
      </c>
      <c r="I370" s="9">
        <v>-2E-3</v>
      </c>
      <c r="J370" s="9">
        <v>1.0349999999999999</v>
      </c>
      <c r="K370" s="9">
        <v>-0.01</v>
      </c>
      <c r="L370" s="9">
        <v>0.25800000000000001</v>
      </c>
      <c r="M370" s="11">
        <v>0.62124999999999997</v>
      </c>
      <c r="N370" s="11">
        <v>8.0443899999999999</v>
      </c>
      <c r="O370" s="11">
        <v>0.87568999999999997</v>
      </c>
      <c r="P370" s="11">
        <v>9.5413300000000003</v>
      </c>
      <c r="Q370" s="7"/>
    </row>
    <row r="371" spans="1:17" ht="12.75" customHeight="1" x14ac:dyDescent="0.35">
      <c r="A371" s="6" t="s">
        <v>84</v>
      </c>
      <c r="B371" s="6" t="s">
        <v>85</v>
      </c>
      <c r="C371" s="7">
        <v>2020</v>
      </c>
      <c r="D371" s="8">
        <v>40</v>
      </c>
      <c r="E371" s="9">
        <v>3.863</v>
      </c>
      <c r="F371" s="9">
        <v>32.052999999999997</v>
      </c>
      <c r="G371" s="17">
        <v>1</v>
      </c>
      <c r="H371" s="9">
        <v>0.66669999999999996</v>
      </c>
      <c r="I371" s="9">
        <v>-0.03</v>
      </c>
      <c r="J371" s="9">
        <v>0.97299999999999998</v>
      </c>
      <c r="K371" s="9">
        <v>-0.14599999999999999</v>
      </c>
      <c r="L371" s="9">
        <v>0.19900000000000001</v>
      </c>
      <c r="M371" s="11">
        <v>0.56815000000000004</v>
      </c>
      <c r="N371" s="11">
        <v>7.2747799999999998</v>
      </c>
      <c r="O371" s="11">
        <v>0.86253999999999997</v>
      </c>
      <c r="P371" s="11">
        <v>8.70547</v>
      </c>
      <c r="Q371" s="7"/>
    </row>
    <row r="372" spans="1:17" ht="12.75" customHeight="1" x14ac:dyDescent="0.35">
      <c r="A372" s="6" t="s">
        <v>84</v>
      </c>
      <c r="B372" s="6" t="s">
        <v>85</v>
      </c>
      <c r="C372" s="7">
        <v>2021</v>
      </c>
      <c r="D372" s="8">
        <v>41</v>
      </c>
      <c r="E372" s="9">
        <v>3.6240000000000001</v>
      </c>
      <c r="F372" s="9">
        <v>32.027000000000001</v>
      </c>
      <c r="G372" s="17">
        <v>1</v>
      </c>
      <c r="H372" s="9">
        <v>0.75</v>
      </c>
      <c r="I372" s="9">
        <v>1.0999999999999999E-2</v>
      </c>
      <c r="J372" s="9">
        <v>0.92800000000000005</v>
      </c>
      <c r="K372" s="9">
        <v>5.0999999999999997E-2</v>
      </c>
      <c r="L372" s="9">
        <v>0.23300000000000001</v>
      </c>
      <c r="M372" s="11">
        <v>0.63802000000000003</v>
      </c>
      <c r="N372" s="11">
        <v>7.8928700000000003</v>
      </c>
      <c r="O372" s="11">
        <v>0.87329999999999997</v>
      </c>
      <c r="P372" s="11">
        <v>9.4041999999999994</v>
      </c>
      <c r="Q372" s="7"/>
    </row>
    <row r="373" spans="1:17" ht="12.75" customHeight="1" x14ac:dyDescent="0.35">
      <c r="A373" s="6" t="s">
        <v>84</v>
      </c>
      <c r="B373" s="6" t="s">
        <v>85</v>
      </c>
      <c r="C373" s="7">
        <v>2022</v>
      </c>
      <c r="D373" s="8">
        <v>42</v>
      </c>
      <c r="E373" s="9">
        <v>2.9670000000000001</v>
      </c>
      <c r="F373" s="9">
        <v>32.323</v>
      </c>
      <c r="G373" s="17">
        <v>1</v>
      </c>
      <c r="H373" s="9">
        <v>0.75</v>
      </c>
      <c r="I373" s="9">
        <v>0.08</v>
      </c>
      <c r="J373" s="9">
        <v>0.98199999999999998</v>
      </c>
      <c r="K373" s="9">
        <v>0.316</v>
      </c>
      <c r="L373" s="9">
        <v>0.33400000000000002</v>
      </c>
      <c r="M373" s="11">
        <v>0.64029999999999998</v>
      </c>
      <c r="N373" s="11">
        <v>9.2755600000000005</v>
      </c>
      <c r="O373" s="11">
        <v>0.89219000000000004</v>
      </c>
      <c r="P373" s="11">
        <v>10.808059999999999</v>
      </c>
      <c r="Q373" s="7"/>
    </row>
    <row r="374" spans="1:17" ht="12.75" customHeight="1" x14ac:dyDescent="0.35">
      <c r="A374" s="6" t="s">
        <v>86</v>
      </c>
      <c r="B374" s="6" t="s">
        <v>87</v>
      </c>
      <c r="C374" s="7">
        <v>2012</v>
      </c>
      <c r="D374" s="8">
        <f t="shared" ref="D374:D379" si="64">D375-1</f>
        <v>19</v>
      </c>
      <c r="E374" s="9">
        <v>0.56672</v>
      </c>
      <c r="F374" s="9">
        <v>25.7241</v>
      </c>
      <c r="G374" s="10">
        <v>0</v>
      </c>
      <c r="H374" s="9">
        <f t="shared" ref="H374:H379" si="65">H375</f>
        <v>0.66669999999999996</v>
      </c>
      <c r="I374" s="9">
        <v>0.1487</v>
      </c>
      <c r="J374" s="9">
        <v>1.7957799999999999</v>
      </c>
      <c r="K374" s="9">
        <v>0.23300000000000001</v>
      </c>
      <c r="L374" s="9">
        <v>1.0154000000000001</v>
      </c>
      <c r="M374" s="11">
        <v>1.39978</v>
      </c>
      <c r="N374" s="11">
        <v>13.25586</v>
      </c>
      <c r="O374" s="11">
        <v>0.92456000000000005</v>
      </c>
      <c r="P374" s="11">
        <v>15.5802</v>
      </c>
      <c r="Q374" s="7"/>
    </row>
    <row r="375" spans="1:17" ht="12.75" customHeight="1" x14ac:dyDescent="0.35">
      <c r="A375" s="6" t="s">
        <v>86</v>
      </c>
      <c r="B375" s="6" t="s">
        <v>87</v>
      </c>
      <c r="C375" s="7">
        <v>2013</v>
      </c>
      <c r="D375" s="8">
        <f t="shared" si="64"/>
        <v>20</v>
      </c>
      <c r="E375" s="9">
        <v>0.40721000000000002</v>
      </c>
      <c r="F375" s="9">
        <v>25.779499999999999</v>
      </c>
      <c r="G375" s="10">
        <v>0</v>
      </c>
      <c r="H375" s="9">
        <f t="shared" si="65"/>
        <v>0.66669999999999996</v>
      </c>
      <c r="I375" s="9">
        <v>0.14019999999999999</v>
      </c>
      <c r="J375" s="9">
        <v>1.5154399999999999</v>
      </c>
      <c r="K375" s="9">
        <v>0.19719999999999999</v>
      </c>
      <c r="L375" s="9">
        <v>0.89170000000000005</v>
      </c>
      <c r="M375" s="11">
        <v>1.1067899999999999</v>
      </c>
      <c r="N375" s="11">
        <v>12.48954</v>
      </c>
      <c r="O375" s="11">
        <v>0.91993000000000003</v>
      </c>
      <c r="P375" s="11">
        <v>14.51627</v>
      </c>
      <c r="Q375" s="7"/>
    </row>
    <row r="376" spans="1:17" ht="12.75" customHeight="1" x14ac:dyDescent="0.35">
      <c r="A376" s="6" t="s">
        <v>86</v>
      </c>
      <c r="B376" s="6" t="s">
        <v>87</v>
      </c>
      <c r="C376" s="7">
        <v>2014</v>
      </c>
      <c r="D376" s="8">
        <f t="shared" si="64"/>
        <v>21</v>
      </c>
      <c r="E376" s="9">
        <v>0.32471</v>
      </c>
      <c r="F376" s="9">
        <v>26.616800000000001</v>
      </c>
      <c r="G376" s="10">
        <v>0</v>
      </c>
      <c r="H376" s="9">
        <f t="shared" si="65"/>
        <v>0.66669999999999996</v>
      </c>
      <c r="I376" s="9">
        <v>2.1899999999999999E-2</v>
      </c>
      <c r="J376" s="9">
        <v>0.90039000000000002</v>
      </c>
      <c r="K376" s="9">
        <v>2.9100000000000001E-2</v>
      </c>
      <c r="L376" s="9">
        <v>0.46679999999999999</v>
      </c>
      <c r="M376" s="11">
        <v>0.63663000000000003</v>
      </c>
      <c r="N376" s="11">
        <v>13.8835</v>
      </c>
      <c r="O376" s="11">
        <v>0.92796999999999996</v>
      </c>
      <c r="P376" s="11">
        <v>15.4481</v>
      </c>
      <c r="Q376" s="7"/>
    </row>
    <row r="377" spans="1:17" ht="12.75" customHeight="1" x14ac:dyDescent="0.35">
      <c r="A377" s="6" t="s">
        <v>86</v>
      </c>
      <c r="B377" s="6" t="s">
        <v>87</v>
      </c>
      <c r="C377" s="7">
        <v>2015</v>
      </c>
      <c r="D377" s="8">
        <f t="shared" si="64"/>
        <v>22</v>
      </c>
      <c r="E377" s="9">
        <v>1.2443500000000001</v>
      </c>
      <c r="F377" s="9">
        <v>26.240400000000001</v>
      </c>
      <c r="G377" s="10">
        <v>0</v>
      </c>
      <c r="H377" s="9">
        <f t="shared" si="65"/>
        <v>0.66669999999999996</v>
      </c>
      <c r="I377" s="9">
        <v>-0.70469999999999999</v>
      </c>
      <c r="J377" s="9">
        <v>1.1936599999999999</v>
      </c>
      <c r="K377" s="9">
        <v>-1.5814999999999999</v>
      </c>
      <c r="L377" s="9">
        <v>0.57540000000000002</v>
      </c>
      <c r="M377" s="11">
        <v>1.6064700000000001</v>
      </c>
      <c r="N377" s="11">
        <v>17.191790000000001</v>
      </c>
      <c r="O377" s="11">
        <v>0.94182999999999995</v>
      </c>
      <c r="P377" s="11">
        <v>19.740100000000002</v>
      </c>
      <c r="Q377" s="7"/>
    </row>
    <row r="378" spans="1:17" ht="12.75" customHeight="1" x14ac:dyDescent="0.35">
      <c r="A378" s="6" t="s">
        <v>86</v>
      </c>
      <c r="B378" s="6" t="s">
        <v>87</v>
      </c>
      <c r="C378" s="7">
        <v>2016</v>
      </c>
      <c r="D378" s="8">
        <f t="shared" si="64"/>
        <v>23</v>
      </c>
      <c r="E378" s="9">
        <v>1.63209</v>
      </c>
      <c r="F378" s="9">
        <v>26.158899999999999</v>
      </c>
      <c r="G378" s="10">
        <v>0</v>
      </c>
      <c r="H378" s="9">
        <f t="shared" si="65"/>
        <v>0.66669999999999996</v>
      </c>
      <c r="I378" s="9">
        <v>-9.8900000000000002E-2</v>
      </c>
      <c r="J378" s="9">
        <v>0.96235000000000004</v>
      </c>
      <c r="K378" s="9">
        <v>-0.26019999999999999</v>
      </c>
      <c r="L378" s="9">
        <v>0.28870000000000001</v>
      </c>
      <c r="M378" s="11">
        <v>1.0886499999999999</v>
      </c>
      <c r="N378" s="11">
        <v>12.01854</v>
      </c>
      <c r="O378" s="11">
        <v>0.91679999999999995</v>
      </c>
      <c r="P378" s="11">
        <v>14.02399</v>
      </c>
      <c r="Q378" s="7"/>
    </row>
    <row r="379" spans="1:17" ht="12.75" customHeight="1" x14ac:dyDescent="0.35">
      <c r="A379" s="6" t="s">
        <v>86</v>
      </c>
      <c r="B379" s="6" t="s">
        <v>87</v>
      </c>
      <c r="C379" s="7">
        <v>2017</v>
      </c>
      <c r="D379" s="8">
        <f t="shared" si="64"/>
        <v>24</v>
      </c>
      <c r="E379" s="9">
        <v>1.81681</v>
      </c>
      <c r="F379" s="9">
        <v>26.177399999999999</v>
      </c>
      <c r="G379" s="10">
        <v>0</v>
      </c>
      <c r="H379" s="9">
        <f t="shared" si="65"/>
        <v>0.66669999999999996</v>
      </c>
      <c r="I379" s="9">
        <v>-0.10100000000000001</v>
      </c>
      <c r="J379" s="9">
        <v>0.94696000000000002</v>
      </c>
      <c r="K379" s="9">
        <v>-0.28449999999999998</v>
      </c>
      <c r="L379" s="9">
        <v>0.20899999999999999</v>
      </c>
      <c r="M379" s="11">
        <v>0.55901999999999996</v>
      </c>
      <c r="N379" s="11">
        <v>6.2777599999999998</v>
      </c>
      <c r="O379" s="11">
        <v>0.84070999999999996</v>
      </c>
      <c r="P379" s="11">
        <v>7.6774800000000001</v>
      </c>
      <c r="Q379" s="7"/>
    </row>
    <row r="380" spans="1:17" ht="12.75" customHeight="1" x14ac:dyDescent="0.35">
      <c r="A380" s="6" t="s">
        <v>86</v>
      </c>
      <c r="B380" s="6" t="s">
        <v>87</v>
      </c>
      <c r="C380" s="7">
        <v>2018</v>
      </c>
      <c r="D380" s="8">
        <v>25</v>
      </c>
      <c r="E380" s="9">
        <v>0.96199999999999997</v>
      </c>
      <c r="F380" s="9">
        <v>25.722000000000001</v>
      </c>
      <c r="G380" s="17">
        <v>0</v>
      </c>
      <c r="H380" s="9">
        <v>0.66669999999999996</v>
      </c>
      <c r="I380" s="9">
        <v>5.3999999999999999E-2</v>
      </c>
      <c r="J380" s="9">
        <v>0.96599999999999997</v>
      </c>
      <c r="K380" s="9">
        <v>0.105</v>
      </c>
      <c r="L380" s="9">
        <v>0.36299999999999999</v>
      </c>
      <c r="M380" s="11">
        <v>0.65946000000000005</v>
      </c>
      <c r="N380" s="11">
        <v>10.231730000000001</v>
      </c>
      <c r="O380" s="11">
        <v>0.90225999999999995</v>
      </c>
      <c r="P380" s="11">
        <v>11.79346</v>
      </c>
      <c r="Q380" s="7"/>
    </row>
    <row r="381" spans="1:17" ht="12.75" customHeight="1" x14ac:dyDescent="0.35">
      <c r="A381" s="6" t="s">
        <v>86</v>
      </c>
      <c r="B381" s="6" t="s">
        <v>87</v>
      </c>
      <c r="C381" s="7">
        <v>2019</v>
      </c>
      <c r="D381" s="8">
        <v>26</v>
      </c>
      <c r="E381" s="9">
        <v>-5.9119999999999999</v>
      </c>
      <c r="F381" s="9">
        <v>24.769189999999998</v>
      </c>
      <c r="G381" s="12">
        <v>0</v>
      </c>
      <c r="H381" s="9">
        <v>0.5</v>
      </c>
      <c r="I381" s="9">
        <v>-1.5382899999999999</v>
      </c>
      <c r="J381" s="9">
        <v>9.1319999999999997</v>
      </c>
      <c r="K381" s="9">
        <v>7.5557333068680288</v>
      </c>
      <c r="L381" s="9">
        <v>0.29399999999999998</v>
      </c>
      <c r="M381" s="11">
        <v>0.29548721838177383</v>
      </c>
      <c r="N381" s="11">
        <v>-0.57482764166007394</v>
      </c>
      <c r="O381" s="11">
        <v>2.7396519017631951</v>
      </c>
      <c r="P381" s="11">
        <v>2.4603114784848952</v>
      </c>
      <c r="Q381" s="7"/>
    </row>
    <row r="382" spans="1:17" ht="12.75" customHeight="1" x14ac:dyDescent="0.35">
      <c r="A382" s="6" t="s">
        <v>86</v>
      </c>
      <c r="B382" s="6" t="s">
        <v>87</v>
      </c>
      <c r="C382" s="7">
        <v>2021</v>
      </c>
      <c r="D382" s="8">
        <v>28</v>
      </c>
      <c r="E382" s="9">
        <v>0.13</v>
      </c>
      <c r="F382" s="9">
        <v>25.780999999999999</v>
      </c>
      <c r="G382" s="17">
        <v>0</v>
      </c>
      <c r="H382" s="9">
        <v>0.66669999999999996</v>
      </c>
      <c r="I382" s="9">
        <v>5.8999999999999997E-2</v>
      </c>
      <c r="J382" s="9">
        <v>5.3380000000000001</v>
      </c>
      <c r="K382" s="9">
        <v>6.6000000000000003E-2</v>
      </c>
      <c r="L382" s="9">
        <v>0.29399999999999998</v>
      </c>
      <c r="M382" s="11">
        <v>0.31642999999999999</v>
      </c>
      <c r="N382" s="11">
        <v>4.1526800000000001</v>
      </c>
      <c r="O382" s="11">
        <v>0.75919000000000003</v>
      </c>
      <c r="P382" s="11">
        <v>5.2282999999999999</v>
      </c>
      <c r="Q382" s="7"/>
    </row>
    <row r="383" spans="1:17" ht="12.75" customHeight="1" x14ac:dyDescent="0.35">
      <c r="A383" s="6" t="s">
        <v>86</v>
      </c>
      <c r="B383" s="6" t="s">
        <v>87</v>
      </c>
      <c r="C383" s="7">
        <v>2022</v>
      </c>
      <c r="D383" s="8">
        <v>29</v>
      </c>
      <c r="E383" s="9">
        <v>0.20599999999999999</v>
      </c>
      <c r="F383" s="9">
        <v>26.887</v>
      </c>
      <c r="G383" s="17">
        <v>0</v>
      </c>
      <c r="H383" s="9">
        <v>0.66669999999999996</v>
      </c>
      <c r="I383" s="9">
        <v>3.2000000000000001E-2</v>
      </c>
      <c r="J383" s="9">
        <v>1.4379999999999999</v>
      </c>
      <c r="K383" s="9">
        <v>3.9E-2</v>
      </c>
      <c r="L383" s="9">
        <v>0.25700000000000001</v>
      </c>
      <c r="M383" s="11">
        <v>0.30664999999999998</v>
      </c>
      <c r="N383" s="11">
        <v>6.7886300000000004</v>
      </c>
      <c r="O383" s="11">
        <v>0.85268999999999995</v>
      </c>
      <c r="P383" s="11">
        <v>7.9479699999999998</v>
      </c>
      <c r="Q383" s="7"/>
    </row>
    <row r="384" spans="1:17" ht="12.75" customHeight="1" x14ac:dyDescent="0.35">
      <c r="A384" s="6" t="s">
        <v>88</v>
      </c>
      <c r="B384" s="6" t="s">
        <v>89</v>
      </c>
      <c r="C384" s="7">
        <v>2012</v>
      </c>
      <c r="D384" s="8">
        <f t="shared" ref="D384:D389" si="66">D385-1</f>
        <v>29</v>
      </c>
      <c r="E384" s="9">
        <v>6.5469799999999996</v>
      </c>
      <c r="F384" s="9">
        <v>27.353200000000001</v>
      </c>
      <c r="G384" s="10">
        <v>0</v>
      </c>
      <c r="H384" s="9">
        <f t="shared" ref="H384:H388" si="67">H385</f>
        <v>0.66666666666666663</v>
      </c>
      <c r="I384" s="9">
        <v>-4.9000000000000002E-2</v>
      </c>
      <c r="J384" s="9">
        <v>2.3226800000000001</v>
      </c>
      <c r="K384" s="9">
        <v>-0.36959999999999998</v>
      </c>
      <c r="L384" s="9">
        <v>5.9400000000000001E-2</v>
      </c>
      <c r="M384" s="11">
        <v>0.39796999999999999</v>
      </c>
      <c r="N384" s="11">
        <v>1.4270700000000001</v>
      </c>
      <c r="O384" s="11">
        <v>0.29926000000000003</v>
      </c>
      <c r="P384" s="11">
        <v>2.1242999999999999</v>
      </c>
      <c r="Q384" s="7"/>
    </row>
    <row r="385" spans="1:17" ht="12.75" customHeight="1" x14ac:dyDescent="0.35">
      <c r="A385" s="6" t="s">
        <v>88</v>
      </c>
      <c r="B385" s="6" t="s">
        <v>89</v>
      </c>
      <c r="C385" s="7">
        <v>2013</v>
      </c>
      <c r="D385" s="8">
        <f t="shared" si="66"/>
        <v>30</v>
      </c>
      <c r="E385" s="9">
        <v>1.66195</v>
      </c>
      <c r="F385" s="9">
        <v>27.430299999999999</v>
      </c>
      <c r="G385" s="10">
        <v>0</v>
      </c>
      <c r="H385" s="9">
        <f t="shared" si="67"/>
        <v>0.66666666666666663</v>
      </c>
      <c r="I385" s="9">
        <v>0.26829999999999998</v>
      </c>
      <c r="J385" s="9">
        <v>1.4376100000000001</v>
      </c>
      <c r="K385" s="9">
        <v>0.71430000000000005</v>
      </c>
      <c r="L385" s="9">
        <v>0.50039999999999996</v>
      </c>
      <c r="M385" s="11">
        <v>0.72246999999999995</v>
      </c>
      <c r="N385" s="11">
        <v>8.4992099999999997</v>
      </c>
      <c r="O385" s="11">
        <v>0.88234000000000001</v>
      </c>
      <c r="P385" s="11">
        <v>10.10403</v>
      </c>
      <c r="Q385" s="7"/>
    </row>
    <row r="386" spans="1:17" ht="12.75" customHeight="1" x14ac:dyDescent="0.35">
      <c r="A386" s="6" t="s">
        <v>88</v>
      </c>
      <c r="B386" s="6" t="s">
        <v>89</v>
      </c>
      <c r="C386" s="7">
        <v>2014</v>
      </c>
      <c r="D386" s="8">
        <f t="shared" si="66"/>
        <v>31</v>
      </c>
      <c r="E386" s="9">
        <v>1.1293200000000001</v>
      </c>
      <c r="F386" s="9">
        <v>28.7532</v>
      </c>
      <c r="G386" s="10">
        <v>0</v>
      </c>
      <c r="H386" s="9">
        <f t="shared" si="67"/>
        <v>0.66666666666666663</v>
      </c>
      <c r="I386" s="9">
        <v>-0.51180000000000003</v>
      </c>
      <c r="J386" s="9">
        <v>2.6866300000000001</v>
      </c>
      <c r="K386" s="9">
        <v>-1.0896999999999999</v>
      </c>
      <c r="L386" s="9">
        <v>0</v>
      </c>
      <c r="M386" s="11">
        <v>1.145E-2</v>
      </c>
      <c r="N386" s="11">
        <v>2.42157</v>
      </c>
      <c r="O386" s="11">
        <v>0.58704000000000001</v>
      </c>
      <c r="P386" s="11">
        <v>3.02007</v>
      </c>
      <c r="Q386" s="7"/>
    </row>
    <row r="387" spans="1:17" ht="12.75" customHeight="1" x14ac:dyDescent="0.35">
      <c r="A387" s="6" t="s">
        <v>88</v>
      </c>
      <c r="B387" s="6" t="s">
        <v>89</v>
      </c>
      <c r="C387" s="7">
        <v>2015</v>
      </c>
      <c r="D387" s="8">
        <f t="shared" si="66"/>
        <v>32</v>
      </c>
      <c r="E387" s="9">
        <v>0.39517000000000002</v>
      </c>
      <c r="F387" s="9">
        <v>28.139500000000002</v>
      </c>
      <c r="G387" s="10">
        <v>0</v>
      </c>
      <c r="H387" s="9">
        <f t="shared" si="67"/>
        <v>0.66666666666666663</v>
      </c>
      <c r="I387" s="9">
        <v>-0.15029999999999999</v>
      </c>
      <c r="J387" s="9">
        <v>1.2406999999999999</v>
      </c>
      <c r="K387" s="9">
        <v>-0.2097</v>
      </c>
      <c r="L387" s="9">
        <v>0</v>
      </c>
      <c r="M387" s="11">
        <v>0.13600999999999999</v>
      </c>
      <c r="N387" s="11">
        <v>22.948519999999998</v>
      </c>
      <c r="O387" s="11">
        <v>0.95642000000000005</v>
      </c>
      <c r="P387" s="11">
        <v>24.040949999999999</v>
      </c>
      <c r="Q387" s="7"/>
    </row>
    <row r="388" spans="1:17" ht="12.75" customHeight="1" x14ac:dyDescent="0.35">
      <c r="A388" s="6" t="s">
        <v>88</v>
      </c>
      <c r="B388" s="6" t="s">
        <v>89</v>
      </c>
      <c r="C388" s="7">
        <v>2016</v>
      </c>
      <c r="D388" s="8">
        <f t="shared" si="66"/>
        <v>33</v>
      </c>
      <c r="E388" s="9">
        <v>-15.6669</v>
      </c>
      <c r="F388" s="9">
        <v>26.453600000000002</v>
      </c>
      <c r="G388" s="10">
        <v>0</v>
      </c>
      <c r="H388" s="9">
        <f t="shared" si="67"/>
        <v>0.66666666666666663</v>
      </c>
      <c r="I388" s="9">
        <v>-3.9211</v>
      </c>
      <c r="J388" s="9">
        <v>6.2362799999999998</v>
      </c>
      <c r="K388" s="9">
        <v>57.510599999999997</v>
      </c>
      <c r="L388" s="9">
        <v>0</v>
      </c>
      <c r="M388" s="11">
        <v>-15.636950000000001</v>
      </c>
      <c r="N388" s="11">
        <v>100.49778000000001</v>
      </c>
      <c r="O388" s="11">
        <v>0.99004999999999999</v>
      </c>
      <c r="P388" s="11">
        <v>85.850880000000004</v>
      </c>
      <c r="Q388" s="7"/>
    </row>
    <row r="389" spans="1:17" ht="12.75" customHeight="1" x14ac:dyDescent="0.35">
      <c r="A389" s="6" t="s">
        <v>88</v>
      </c>
      <c r="B389" s="6" t="s">
        <v>89</v>
      </c>
      <c r="C389" s="7">
        <v>2017</v>
      </c>
      <c r="D389" s="8">
        <f t="shared" si="66"/>
        <v>34</v>
      </c>
      <c r="E389" s="9">
        <v>-391.81790999999998</v>
      </c>
      <c r="F389" s="9">
        <v>27.370999999999999</v>
      </c>
      <c r="G389" s="10">
        <v>0</v>
      </c>
      <c r="H389" s="9">
        <v>0.66666666666666663</v>
      </c>
      <c r="I389" s="9">
        <v>1.8700000000000001E-2</v>
      </c>
      <c r="J389" s="9">
        <v>3.0674299999999999</v>
      </c>
      <c r="K389" s="9">
        <v>-7.3051000000000004</v>
      </c>
      <c r="L389" s="9">
        <v>0.59509999999999996</v>
      </c>
      <c r="M389" s="11">
        <v>-216.32056</v>
      </c>
      <c r="N389" s="11">
        <v>56.943300000000001</v>
      </c>
      <c r="O389" s="11">
        <v>0.98243999999999998</v>
      </c>
      <c r="P389" s="11">
        <v>-158.39482000000001</v>
      </c>
      <c r="Q389" s="7"/>
    </row>
    <row r="390" spans="1:17" ht="12.75" customHeight="1" x14ac:dyDescent="0.35">
      <c r="A390" s="6" t="s">
        <v>88</v>
      </c>
      <c r="B390" s="6" t="s">
        <v>89</v>
      </c>
      <c r="C390" s="7">
        <v>2018</v>
      </c>
      <c r="D390" s="8">
        <v>35</v>
      </c>
      <c r="E390" s="8">
        <v>-154.27214000000001</v>
      </c>
      <c r="F390" s="9">
        <v>27.75</v>
      </c>
      <c r="G390" s="17">
        <v>0</v>
      </c>
      <c r="H390" s="9">
        <v>0.66669999999999996</v>
      </c>
      <c r="I390" s="9">
        <v>1.2E-2</v>
      </c>
      <c r="J390" s="9">
        <v>2.4140000000000001</v>
      </c>
      <c r="K390" s="9">
        <v>-186.637</v>
      </c>
      <c r="L390" s="9">
        <v>0.51200000000000001</v>
      </c>
      <c r="M390" s="11">
        <v>-7.6545500000000004</v>
      </c>
      <c r="N390" s="11">
        <v>68.60942</v>
      </c>
      <c r="O390" s="11">
        <v>0.98541999999999996</v>
      </c>
      <c r="P390" s="11">
        <v>61.940289999999997</v>
      </c>
      <c r="Q390" s="7"/>
    </row>
    <row r="391" spans="1:17" ht="12.75" customHeight="1" x14ac:dyDescent="0.35">
      <c r="A391" s="6" t="s">
        <v>88</v>
      </c>
      <c r="B391" s="6" t="s">
        <v>89</v>
      </c>
      <c r="C391" s="7">
        <v>2019</v>
      </c>
      <c r="D391" s="8">
        <v>36</v>
      </c>
      <c r="E391" s="9">
        <v>57.156999999999996</v>
      </c>
      <c r="F391" s="9">
        <v>27.428000000000001</v>
      </c>
      <c r="G391" s="17">
        <v>0</v>
      </c>
      <c r="H391" s="9">
        <v>0.66669999999999996</v>
      </c>
      <c r="I391" s="9">
        <v>1.4999999999999999E-2</v>
      </c>
      <c r="J391" s="9">
        <v>2.9340000000000002</v>
      </c>
      <c r="K391" s="9">
        <v>0.85399999999999998</v>
      </c>
      <c r="L391" s="9">
        <v>1.0489999999999999</v>
      </c>
      <c r="M391" s="11">
        <v>62.020209999999999</v>
      </c>
      <c r="N391" s="11">
        <v>69.763490000000004</v>
      </c>
      <c r="O391" s="11">
        <v>0.98567000000000005</v>
      </c>
      <c r="P391" s="11">
        <v>132.76936000000001</v>
      </c>
      <c r="Q391" s="7"/>
    </row>
    <row r="392" spans="1:17" ht="12.75" customHeight="1" x14ac:dyDescent="0.35">
      <c r="A392" s="6" t="s">
        <v>88</v>
      </c>
      <c r="B392" s="6" t="s">
        <v>89</v>
      </c>
      <c r="C392" s="7">
        <v>2020</v>
      </c>
      <c r="D392" s="8">
        <v>37</v>
      </c>
      <c r="E392" s="9">
        <v>-39.326000000000001</v>
      </c>
      <c r="F392" s="9">
        <v>27.309000000000001</v>
      </c>
      <c r="G392" s="17">
        <v>0</v>
      </c>
      <c r="H392" s="9">
        <v>0.66669999999999996</v>
      </c>
      <c r="I392" s="9">
        <v>-4.7E-2</v>
      </c>
      <c r="J392" s="9">
        <v>3.2229999999999999</v>
      </c>
      <c r="K392" s="9">
        <v>1.7909999999999999</v>
      </c>
      <c r="L392" s="9">
        <v>1.0509999999999999</v>
      </c>
      <c r="M392" s="11">
        <v>-40.70581</v>
      </c>
      <c r="N392" s="11">
        <v>71.133250000000004</v>
      </c>
      <c r="O392" s="11">
        <v>0.98594000000000004</v>
      </c>
      <c r="P392" s="11">
        <v>31.41338</v>
      </c>
      <c r="Q392" s="7"/>
    </row>
    <row r="393" spans="1:17" ht="12.75" customHeight="1" x14ac:dyDescent="0.35">
      <c r="A393" s="6" t="s">
        <v>88</v>
      </c>
      <c r="B393" s="6" t="s">
        <v>89</v>
      </c>
      <c r="C393" s="7">
        <v>2021</v>
      </c>
      <c r="D393" s="8">
        <v>38</v>
      </c>
      <c r="E393" s="9">
        <v>-29.143000000000001</v>
      </c>
      <c r="F393" s="9">
        <v>27.326000000000001</v>
      </c>
      <c r="G393" s="17">
        <v>0</v>
      </c>
      <c r="H393" s="9">
        <v>0.66669999999999996</v>
      </c>
      <c r="I393" s="9">
        <v>-8.0000000000000002E-3</v>
      </c>
      <c r="J393" s="9">
        <v>3.1960000000000002</v>
      </c>
      <c r="K393" s="9">
        <v>0.23100000000000001</v>
      </c>
      <c r="L393" s="9">
        <v>0.48099999999999998</v>
      </c>
      <c r="M393" s="11">
        <v>-14.267709999999999</v>
      </c>
      <c r="N393" s="11">
        <v>38.892110000000002</v>
      </c>
      <c r="O393" s="11">
        <v>0.97428999999999999</v>
      </c>
      <c r="P393" s="11">
        <v>25.598690000000001</v>
      </c>
      <c r="Q393" s="7"/>
    </row>
    <row r="394" spans="1:17" ht="12.75" customHeight="1" x14ac:dyDescent="0.35">
      <c r="A394" s="6" t="s">
        <v>90</v>
      </c>
      <c r="B394" s="6" t="s">
        <v>91</v>
      </c>
      <c r="C394" s="7">
        <v>2012</v>
      </c>
      <c r="D394" s="8">
        <f t="shared" ref="D394:D399" si="68">D395-1</f>
        <v>12</v>
      </c>
      <c r="E394" s="9">
        <v>3.7686700000000002</v>
      </c>
      <c r="F394" s="9">
        <v>27.860900000000001</v>
      </c>
      <c r="G394" s="10">
        <v>0</v>
      </c>
      <c r="H394" s="9">
        <f t="shared" ref="H394:H399" si="69">H395</f>
        <v>0.66669999999999996</v>
      </c>
      <c r="I394" s="9">
        <v>9.0899999999999995E-2</v>
      </c>
      <c r="J394" s="9">
        <v>1.7464</v>
      </c>
      <c r="K394" s="9">
        <v>0.43359999999999999</v>
      </c>
      <c r="L394" s="9">
        <v>1.3876999999999999</v>
      </c>
      <c r="M394" s="11">
        <v>6.1013999999999999</v>
      </c>
      <c r="N394" s="11">
        <v>46.342570000000002</v>
      </c>
      <c r="O394" s="11">
        <v>0.97841999999999996</v>
      </c>
      <c r="P394" s="11">
        <v>53.42239</v>
      </c>
      <c r="Q394" s="7"/>
    </row>
    <row r="395" spans="1:17" ht="12.75" customHeight="1" x14ac:dyDescent="0.35">
      <c r="A395" s="6" t="s">
        <v>90</v>
      </c>
      <c r="B395" s="6" t="s">
        <v>91</v>
      </c>
      <c r="C395" s="7">
        <v>2013</v>
      </c>
      <c r="D395" s="8">
        <f t="shared" si="68"/>
        <v>13</v>
      </c>
      <c r="E395" s="9">
        <v>1.3212600000000001</v>
      </c>
      <c r="F395" s="9">
        <v>28.072199999999999</v>
      </c>
      <c r="G395" s="10">
        <v>0</v>
      </c>
      <c r="H395" s="9">
        <f t="shared" si="69"/>
        <v>0.66669999999999996</v>
      </c>
      <c r="I395" s="9">
        <v>9.5500000000000002E-2</v>
      </c>
      <c r="J395" s="9">
        <v>1.1652800000000001</v>
      </c>
      <c r="K395" s="9">
        <v>0.22170000000000001</v>
      </c>
      <c r="L395" s="9">
        <v>1.3523000000000001</v>
      </c>
      <c r="M395" s="11">
        <v>2.81724</v>
      </c>
      <c r="N395" s="11">
        <v>56.493369999999999</v>
      </c>
      <c r="O395" s="11">
        <v>0.98229999999999995</v>
      </c>
      <c r="P395" s="11">
        <v>60.292909999999999</v>
      </c>
      <c r="Q395" s="7"/>
    </row>
    <row r="396" spans="1:17" ht="12.75" customHeight="1" x14ac:dyDescent="0.35">
      <c r="A396" s="6" t="s">
        <v>90</v>
      </c>
      <c r="B396" s="6" t="s">
        <v>91</v>
      </c>
      <c r="C396" s="7">
        <v>2014</v>
      </c>
      <c r="D396" s="8">
        <f t="shared" si="68"/>
        <v>14</v>
      </c>
      <c r="E396" s="9">
        <v>1.02441</v>
      </c>
      <c r="F396" s="9">
        <v>28.293399999999998</v>
      </c>
      <c r="G396" s="10">
        <v>1</v>
      </c>
      <c r="H396" s="9">
        <f t="shared" si="69"/>
        <v>0.66669999999999996</v>
      </c>
      <c r="I396" s="9">
        <v>0.1381</v>
      </c>
      <c r="J396" s="9">
        <v>1.00431</v>
      </c>
      <c r="K396" s="9">
        <v>0.27950000000000003</v>
      </c>
      <c r="L396" s="9">
        <v>1.5587</v>
      </c>
      <c r="M396" s="11">
        <v>2.7994599999999998</v>
      </c>
      <c r="N396" s="11">
        <v>53.199579999999997</v>
      </c>
      <c r="O396" s="11">
        <v>0.98119999999999996</v>
      </c>
      <c r="P396" s="11">
        <v>56.980240000000002</v>
      </c>
      <c r="Q396" s="7"/>
    </row>
    <row r="397" spans="1:17" ht="12.75" customHeight="1" x14ac:dyDescent="0.35">
      <c r="A397" s="6" t="s">
        <v>90</v>
      </c>
      <c r="B397" s="6" t="s">
        <v>91</v>
      </c>
      <c r="C397" s="7">
        <v>2015</v>
      </c>
      <c r="D397" s="8">
        <f t="shared" si="68"/>
        <v>15</v>
      </c>
      <c r="E397" s="9">
        <v>0.72723000000000004</v>
      </c>
      <c r="F397" s="9">
        <v>28.4008</v>
      </c>
      <c r="G397" s="10">
        <v>1</v>
      </c>
      <c r="H397" s="9">
        <f t="shared" si="69"/>
        <v>0.66669999999999996</v>
      </c>
      <c r="I397" s="9">
        <v>0.15310000000000001</v>
      </c>
      <c r="J397" s="9">
        <v>0.94216</v>
      </c>
      <c r="K397" s="9">
        <v>0.26450000000000001</v>
      </c>
      <c r="L397" s="9">
        <v>1.4037999999999999</v>
      </c>
      <c r="M397" s="11">
        <v>2.0708899999999999</v>
      </c>
      <c r="N397" s="11">
        <v>43.431359999999998</v>
      </c>
      <c r="O397" s="11">
        <v>0.97697999999999996</v>
      </c>
      <c r="P397" s="11">
        <v>46.479219999999998</v>
      </c>
      <c r="Q397" s="7"/>
    </row>
    <row r="398" spans="1:17" ht="12.75" customHeight="1" x14ac:dyDescent="0.35">
      <c r="A398" s="6" t="s">
        <v>90</v>
      </c>
      <c r="B398" s="6" t="s">
        <v>91</v>
      </c>
      <c r="C398" s="7">
        <v>2016</v>
      </c>
      <c r="D398" s="8">
        <f t="shared" si="68"/>
        <v>16</v>
      </c>
      <c r="E398" s="9">
        <v>0.37004999999999999</v>
      </c>
      <c r="F398" s="9">
        <v>28.303699999999999</v>
      </c>
      <c r="G398" s="10">
        <v>1</v>
      </c>
      <c r="H398" s="9">
        <f t="shared" si="69"/>
        <v>0.66669999999999996</v>
      </c>
      <c r="I398" s="9">
        <v>0.14410000000000001</v>
      </c>
      <c r="J398" s="9">
        <v>0.97267000000000003</v>
      </c>
      <c r="K398" s="9">
        <v>0.19739999999999999</v>
      </c>
      <c r="L398" s="9">
        <v>1.2909999999999999</v>
      </c>
      <c r="M398" s="11">
        <v>1.6158999999999999</v>
      </c>
      <c r="N398" s="11">
        <v>13.66905</v>
      </c>
      <c r="O398" s="11">
        <v>0.92684</v>
      </c>
      <c r="P398" s="11">
        <v>16.2118</v>
      </c>
      <c r="Q398" s="7"/>
    </row>
    <row r="399" spans="1:17" ht="12.75" customHeight="1" x14ac:dyDescent="0.35">
      <c r="A399" s="6" t="s">
        <v>90</v>
      </c>
      <c r="B399" s="6" t="s">
        <v>91</v>
      </c>
      <c r="C399" s="7">
        <v>2017</v>
      </c>
      <c r="D399" s="8">
        <f t="shared" si="68"/>
        <v>17</v>
      </c>
      <c r="E399" s="9">
        <v>0.32695000000000002</v>
      </c>
      <c r="F399" s="9">
        <v>28.242699999999999</v>
      </c>
      <c r="G399" s="10">
        <v>1</v>
      </c>
      <c r="H399" s="9">
        <f t="shared" si="69"/>
        <v>0.66669999999999996</v>
      </c>
      <c r="I399" s="9">
        <v>9.0300000000000005E-2</v>
      </c>
      <c r="J399" s="9">
        <v>1.08419</v>
      </c>
      <c r="K399" s="9">
        <v>0.1198</v>
      </c>
      <c r="L399" s="9">
        <v>1.3822000000000001</v>
      </c>
      <c r="M399" s="11">
        <v>1.8289299999999999</v>
      </c>
      <c r="N399" s="11">
        <v>11.94294</v>
      </c>
      <c r="O399" s="11">
        <v>0.91627000000000003</v>
      </c>
      <c r="P399" s="11">
        <v>14.688140000000001</v>
      </c>
      <c r="Q399" s="7"/>
    </row>
    <row r="400" spans="1:17" ht="12.75" customHeight="1" x14ac:dyDescent="0.35">
      <c r="A400" s="6" t="s">
        <v>90</v>
      </c>
      <c r="B400" s="6" t="s">
        <v>91</v>
      </c>
      <c r="C400" s="7">
        <v>2018</v>
      </c>
      <c r="D400" s="8">
        <v>18</v>
      </c>
      <c r="E400" s="9">
        <v>0.32800000000000001</v>
      </c>
      <c r="F400" s="9">
        <v>28.434000000000001</v>
      </c>
      <c r="G400" s="17">
        <v>0</v>
      </c>
      <c r="H400" s="9">
        <v>0.66669999999999996</v>
      </c>
      <c r="I400" s="9">
        <v>0.20399999999999999</v>
      </c>
      <c r="J400" s="9">
        <v>1.2989999999999999</v>
      </c>
      <c r="K400" s="9">
        <v>0.27100000000000002</v>
      </c>
      <c r="L400" s="9">
        <v>1.593</v>
      </c>
      <c r="M400" s="11">
        <v>1.8794900000000001</v>
      </c>
      <c r="N400" s="11">
        <v>14.31396</v>
      </c>
      <c r="O400" s="11">
        <v>0.93013999999999997</v>
      </c>
      <c r="P400" s="11">
        <v>17.12358</v>
      </c>
      <c r="Q400" s="7"/>
    </row>
    <row r="401" spans="1:17" ht="12.75" customHeight="1" x14ac:dyDescent="0.35">
      <c r="A401" s="6" t="s">
        <v>90</v>
      </c>
      <c r="B401" s="6" t="s">
        <v>91</v>
      </c>
      <c r="C401" s="7">
        <v>2019</v>
      </c>
      <c r="D401" s="8">
        <v>19</v>
      </c>
      <c r="E401" s="9">
        <v>0.31</v>
      </c>
      <c r="F401" s="9">
        <v>28.431999999999999</v>
      </c>
      <c r="G401" s="17">
        <v>1</v>
      </c>
      <c r="H401" s="9">
        <v>0.66669999999999996</v>
      </c>
      <c r="I401" s="9">
        <v>0.16300000000000001</v>
      </c>
      <c r="J401" s="9">
        <v>1.52</v>
      </c>
      <c r="K401" s="9">
        <v>0.21299999999999999</v>
      </c>
      <c r="L401" s="9">
        <v>1.589</v>
      </c>
      <c r="M401" s="11">
        <v>1.94432</v>
      </c>
      <c r="N401" s="11">
        <v>15.62856</v>
      </c>
      <c r="O401" s="11">
        <v>0.93601000000000001</v>
      </c>
      <c r="P401" s="11">
        <v>18.508890000000001</v>
      </c>
      <c r="Q401" s="7"/>
    </row>
    <row r="402" spans="1:17" ht="12.75" customHeight="1" x14ac:dyDescent="0.35">
      <c r="A402" s="6" t="s">
        <v>90</v>
      </c>
      <c r="B402" s="6" t="s">
        <v>91</v>
      </c>
      <c r="C402" s="7">
        <v>2020</v>
      </c>
      <c r="D402" s="8">
        <v>20</v>
      </c>
      <c r="E402" s="9">
        <v>0.17100000000000001</v>
      </c>
      <c r="F402" s="9">
        <v>28.388000000000002</v>
      </c>
      <c r="G402" s="17">
        <v>1</v>
      </c>
      <c r="H402" s="9">
        <v>0.66669999999999996</v>
      </c>
      <c r="I402" s="9">
        <v>0.14899999999999999</v>
      </c>
      <c r="J402" s="9">
        <v>1.492</v>
      </c>
      <c r="K402" s="9">
        <v>0.17499999999999999</v>
      </c>
      <c r="L402" s="9">
        <v>1.1479999999999999</v>
      </c>
      <c r="M402" s="11">
        <v>1.2434099999999999</v>
      </c>
      <c r="N402" s="11">
        <v>11.00389</v>
      </c>
      <c r="O402" s="11">
        <v>0.90912000000000004</v>
      </c>
      <c r="P402" s="11">
        <v>13.156420000000001</v>
      </c>
      <c r="Q402" s="7"/>
    </row>
    <row r="403" spans="1:17" ht="12.75" customHeight="1" x14ac:dyDescent="0.35">
      <c r="A403" s="6" t="s">
        <v>90</v>
      </c>
      <c r="B403" s="6" t="s">
        <v>91</v>
      </c>
      <c r="C403" s="7">
        <v>2021</v>
      </c>
      <c r="D403" s="8">
        <v>21</v>
      </c>
      <c r="E403" s="9">
        <v>0.16600000000000001</v>
      </c>
      <c r="F403" s="9">
        <v>28.481999999999999</v>
      </c>
      <c r="G403" s="17">
        <v>1</v>
      </c>
      <c r="H403" s="9">
        <v>0.66669999999999996</v>
      </c>
      <c r="I403" s="9">
        <v>0.16400000000000001</v>
      </c>
      <c r="J403" s="9">
        <v>1.792</v>
      </c>
      <c r="K403" s="9">
        <v>0.192</v>
      </c>
      <c r="L403" s="9">
        <v>0.98</v>
      </c>
      <c r="M403" s="11">
        <v>1.02024</v>
      </c>
      <c r="N403" s="11">
        <v>9.1152499999999996</v>
      </c>
      <c r="O403" s="11">
        <v>0.89029000000000003</v>
      </c>
      <c r="P403" s="11">
        <v>11.025779999999999</v>
      </c>
      <c r="Q403" s="7"/>
    </row>
    <row r="404" spans="1:17" ht="12.75" customHeight="1" x14ac:dyDescent="0.35">
      <c r="A404" s="6" t="s">
        <v>90</v>
      </c>
      <c r="B404" s="6" t="s">
        <v>91</v>
      </c>
      <c r="C404" s="7">
        <v>2022</v>
      </c>
      <c r="D404" s="8">
        <v>22</v>
      </c>
      <c r="E404" s="9">
        <v>0.14000000000000001</v>
      </c>
      <c r="F404" s="9">
        <v>28.603000000000002</v>
      </c>
      <c r="G404" s="17">
        <v>1</v>
      </c>
      <c r="H404" s="9">
        <v>0.66669999999999996</v>
      </c>
      <c r="I404" s="9">
        <v>8.3000000000000004E-2</v>
      </c>
      <c r="J404" s="9">
        <v>1.45</v>
      </c>
      <c r="K404" s="9">
        <v>9.5000000000000001E-2</v>
      </c>
      <c r="L404" s="9">
        <v>0.83499999999999996</v>
      </c>
      <c r="M404" s="11">
        <v>0.91142999999999996</v>
      </c>
      <c r="N404" s="11">
        <v>9.6437899999999992</v>
      </c>
      <c r="O404" s="11">
        <v>0.89631000000000005</v>
      </c>
      <c r="P404" s="11">
        <v>11.45153</v>
      </c>
      <c r="Q404" s="7"/>
    </row>
    <row r="405" spans="1:17" ht="12.75" customHeight="1" x14ac:dyDescent="0.35">
      <c r="A405" s="6" t="s">
        <v>92</v>
      </c>
      <c r="B405" s="6" t="s">
        <v>93</v>
      </c>
      <c r="C405" s="7">
        <v>2021</v>
      </c>
      <c r="D405" s="8">
        <v>25</v>
      </c>
      <c r="E405" s="9">
        <v>0.13</v>
      </c>
      <c r="F405" s="9">
        <v>25.34</v>
      </c>
      <c r="G405" s="17">
        <v>0</v>
      </c>
      <c r="H405" s="9">
        <v>0.66669999999999996</v>
      </c>
      <c r="I405" s="9">
        <v>4.4999999999999998E-2</v>
      </c>
      <c r="J405" s="9">
        <v>1.119</v>
      </c>
      <c r="K405" s="9">
        <v>5.0999999999999997E-2</v>
      </c>
      <c r="L405" s="9">
        <v>0.66100000000000003</v>
      </c>
      <c r="M405" s="11">
        <v>1.0000500000000001</v>
      </c>
      <c r="N405" s="11">
        <v>2.7941199999999999</v>
      </c>
      <c r="O405" s="11">
        <v>0.64210999999999996</v>
      </c>
      <c r="P405" s="11">
        <v>4.43628</v>
      </c>
      <c r="Q405" s="7"/>
    </row>
    <row r="406" spans="1:17" ht="12.75" customHeight="1" x14ac:dyDescent="0.35">
      <c r="A406" s="6" t="s">
        <v>92</v>
      </c>
      <c r="B406" s="6" t="s">
        <v>93</v>
      </c>
      <c r="C406" s="7">
        <v>2022</v>
      </c>
      <c r="D406" s="8">
        <v>26</v>
      </c>
      <c r="E406" s="9">
        <v>0.17799999999999999</v>
      </c>
      <c r="F406" s="9">
        <v>25.594999999999999</v>
      </c>
      <c r="G406" s="17">
        <v>0</v>
      </c>
      <c r="H406" s="9">
        <v>0.66669999999999996</v>
      </c>
      <c r="I406" s="9">
        <v>6.0999999999999999E-2</v>
      </c>
      <c r="J406" s="9">
        <v>1.3</v>
      </c>
      <c r="K406" s="9">
        <v>7.1999999999999995E-2</v>
      </c>
      <c r="L406" s="9">
        <v>0.79200000000000004</v>
      </c>
      <c r="M406" s="11">
        <v>1.1950400000000001</v>
      </c>
      <c r="N406" s="11">
        <v>3.1162700000000001</v>
      </c>
      <c r="O406" s="11">
        <v>0.67910000000000004</v>
      </c>
      <c r="P406" s="11">
        <v>4.9904099999999998</v>
      </c>
      <c r="Q406" s="7"/>
    </row>
    <row r="407" spans="1:17" ht="12.75" customHeight="1" x14ac:dyDescent="0.35">
      <c r="A407" s="6" t="s">
        <v>94</v>
      </c>
      <c r="B407" s="6" t="s">
        <v>95</v>
      </c>
      <c r="C407" s="7">
        <v>2012</v>
      </c>
      <c r="D407" s="8">
        <f t="shared" ref="D407:D412" si="70">D408-1</f>
        <v>16</v>
      </c>
      <c r="E407" s="9">
        <v>0.65966000000000002</v>
      </c>
      <c r="F407" s="9">
        <v>31.232700000000001</v>
      </c>
      <c r="G407" s="10">
        <v>1</v>
      </c>
      <c r="H407" s="9">
        <f t="shared" ref="H407:H410" si="71">H408</f>
        <v>0.8571428571428571</v>
      </c>
      <c r="I407" s="9">
        <v>0.22800000000000001</v>
      </c>
      <c r="J407" s="9">
        <v>3.3585500000000001</v>
      </c>
      <c r="K407" s="9">
        <v>0.37830000000000003</v>
      </c>
      <c r="L407" s="9">
        <v>0.6593</v>
      </c>
      <c r="M407" s="11">
        <v>0.71936</v>
      </c>
      <c r="N407" s="11">
        <v>13.062530000000001</v>
      </c>
      <c r="O407" s="11">
        <v>0.92344999999999999</v>
      </c>
      <c r="P407" s="11">
        <v>14.70533</v>
      </c>
      <c r="Q407" s="7"/>
    </row>
    <row r="408" spans="1:17" ht="12.75" customHeight="1" x14ac:dyDescent="0.35">
      <c r="A408" s="6" t="s">
        <v>94</v>
      </c>
      <c r="B408" s="6" t="s">
        <v>95</v>
      </c>
      <c r="C408" s="7">
        <v>2013</v>
      </c>
      <c r="D408" s="8">
        <f t="shared" si="70"/>
        <v>17</v>
      </c>
      <c r="E408" s="9">
        <v>0.61653999999999998</v>
      </c>
      <c r="F408" s="9">
        <v>31.4406</v>
      </c>
      <c r="G408" s="10">
        <v>1</v>
      </c>
      <c r="H408" s="9">
        <f t="shared" si="71"/>
        <v>0.8571428571428571</v>
      </c>
      <c r="I408" s="9">
        <v>0.18629999999999999</v>
      </c>
      <c r="J408" s="9">
        <v>2.4392499999999999</v>
      </c>
      <c r="K408" s="9">
        <v>0.30120000000000002</v>
      </c>
      <c r="L408" s="9">
        <v>0.69510000000000005</v>
      </c>
      <c r="M408" s="11">
        <v>0.84136999999999995</v>
      </c>
      <c r="N408" s="11">
        <v>16.205369999999998</v>
      </c>
      <c r="O408" s="11">
        <v>0.93828999999999996</v>
      </c>
      <c r="P408" s="11">
        <v>17.985040000000001</v>
      </c>
      <c r="Q408" s="7"/>
    </row>
    <row r="409" spans="1:17" ht="12.75" customHeight="1" x14ac:dyDescent="0.35">
      <c r="A409" s="6" t="s">
        <v>94</v>
      </c>
      <c r="B409" s="6" t="s">
        <v>95</v>
      </c>
      <c r="C409" s="7">
        <v>2014</v>
      </c>
      <c r="D409" s="8">
        <f t="shared" si="70"/>
        <v>18</v>
      </c>
      <c r="E409" s="9">
        <v>0.97865999999999997</v>
      </c>
      <c r="F409" s="9">
        <v>31.8444</v>
      </c>
      <c r="G409" s="10">
        <v>1</v>
      </c>
      <c r="H409" s="9">
        <f t="shared" si="71"/>
        <v>0.8571428571428571</v>
      </c>
      <c r="I409" s="9">
        <v>0.125</v>
      </c>
      <c r="J409" s="9">
        <v>2.5524399999999998</v>
      </c>
      <c r="K409" s="9">
        <v>0.24729999999999999</v>
      </c>
      <c r="L409" s="9">
        <v>0.57179999999999997</v>
      </c>
      <c r="M409" s="11">
        <v>0.84789999999999999</v>
      </c>
      <c r="N409" s="11">
        <v>20.262920000000001</v>
      </c>
      <c r="O409" s="11">
        <v>0.95065</v>
      </c>
      <c r="P409" s="11">
        <v>22.06147</v>
      </c>
      <c r="Q409" s="7"/>
    </row>
    <row r="410" spans="1:17" ht="12.75" customHeight="1" x14ac:dyDescent="0.35">
      <c r="A410" s="6" t="s">
        <v>94</v>
      </c>
      <c r="B410" s="6" t="s">
        <v>95</v>
      </c>
      <c r="C410" s="7">
        <v>2015</v>
      </c>
      <c r="D410" s="8">
        <f t="shared" si="70"/>
        <v>19</v>
      </c>
      <c r="E410" s="9">
        <v>1.1486799999999999</v>
      </c>
      <c r="F410" s="9">
        <v>32.096699999999998</v>
      </c>
      <c r="G410" s="10">
        <v>1</v>
      </c>
      <c r="H410" s="9">
        <f t="shared" si="71"/>
        <v>0.8571428571428571</v>
      </c>
      <c r="I410" s="9">
        <v>6.1800000000000001E-2</v>
      </c>
      <c r="J410" s="9">
        <v>1.2773300000000001</v>
      </c>
      <c r="K410" s="9">
        <v>0.13270000000000001</v>
      </c>
      <c r="L410" s="9">
        <v>0.47249999999999998</v>
      </c>
      <c r="M410" s="11">
        <v>0.81494</v>
      </c>
      <c r="N410" s="11">
        <v>23.330660000000002</v>
      </c>
      <c r="O410" s="11">
        <v>0.95713999999999999</v>
      </c>
      <c r="P410" s="11">
        <v>25.102740000000001</v>
      </c>
      <c r="Q410" s="7"/>
    </row>
    <row r="411" spans="1:17" ht="12.75" customHeight="1" x14ac:dyDescent="0.35">
      <c r="A411" s="6" t="s">
        <v>94</v>
      </c>
      <c r="B411" s="6" t="s">
        <v>95</v>
      </c>
      <c r="C411" s="7">
        <v>2016</v>
      </c>
      <c r="D411" s="8">
        <f t="shared" si="70"/>
        <v>20</v>
      </c>
      <c r="E411" s="9">
        <v>1.1557500000000001</v>
      </c>
      <c r="F411" s="9">
        <v>32.141300000000001</v>
      </c>
      <c r="G411" s="10">
        <v>1</v>
      </c>
      <c r="H411" s="9">
        <v>0.8571428571428571</v>
      </c>
      <c r="I411" s="9">
        <v>4.4499999999999998E-2</v>
      </c>
      <c r="J411" s="9">
        <v>1.2488900000000001</v>
      </c>
      <c r="K411" s="9">
        <v>9.6000000000000002E-2</v>
      </c>
      <c r="L411" s="9">
        <v>0.4294</v>
      </c>
      <c r="M411" s="11">
        <v>0.76802000000000004</v>
      </c>
      <c r="N411" s="11">
        <v>20.55997</v>
      </c>
      <c r="O411" s="11">
        <v>0.95135999999999998</v>
      </c>
      <c r="P411" s="11">
        <v>22.279350000000001</v>
      </c>
      <c r="Q411" s="7"/>
    </row>
    <row r="412" spans="1:17" ht="12.75" customHeight="1" x14ac:dyDescent="0.35">
      <c r="A412" s="6" t="s">
        <v>94</v>
      </c>
      <c r="B412" s="6" t="s">
        <v>95</v>
      </c>
      <c r="C412" s="7">
        <v>2017</v>
      </c>
      <c r="D412" s="8">
        <f t="shared" si="70"/>
        <v>21</v>
      </c>
      <c r="E412" s="9">
        <v>0.89846999999999999</v>
      </c>
      <c r="F412" s="9">
        <v>32.339300000000001</v>
      </c>
      <c r="G412" s="10">
        <v>1</v>
      </c>
      <c r="H412" s="9">
        <v>0.83333333333333337</v>
      </c>
      <c r="I412" s="9">
        <v>2.41E-2</v>
      </c>
      <c r="J412" s="9">
        <v>0.85590999999999995</v>
      </c>
      <c r="K412" s="9">
        <v>4.5699999999999998E-2</v>
      </c>
      <c r="L412" s="9">
        <v>0.43630000000000002</v>
      </c>
      <c r="M412" s="11">
        <v>0.70391999999999999</v>
      </c>
      <c r="N412" s="11">
        <v>24.7409</v>
      </c>
      <c r="O412" s="11">
        <v>0.95957999999999999</v>
      </c>
      <c r="P412" s="11">
        <v>26.404389999999999</v>
      </c>
      <c r="Q412" s="7"/>
    </row>
    <row r="413" spans="1:17" ht="12.75" customHeight="1" x14ac:dyDescent="0.35">
      <c r="A413" s="6" t="s">
        <v>94</v>
      </c>
      <c r="B413" s="6" t="s">
        <v>95</v>
      </c>
      <c r="C413" s="7">
        <v>2018</v>
      </c>
      <c r="D413" s="8">
        <v>22</v>
      </c>
      <c r="E413" s="9">
        <v>1.48</v>
      </c>
      <c r="F413" s="9">
        <v>32.393999999999998</v>
      </c>
      <c r="G413" s="17">
        <v>0</v>
      </c>
      <c r="H413" s="9">
        <v>0.6</v>
      </c>
      <c r="I413" s="9">
        <v>3.7999999999999999E-2</v>
      </c>
      <c r="J413" s="9">
        <v>1.044</v>
      </c>
      <c r="K413" s="9">
        <v>9.5000000000000001E-2</v>
      </c>
      <c r="L413" s="9">
        <v>0.48699999999999999</v>
      </c>
      <c r="M413" s="11">
        <v>1.00305</v>
      </c>
      <c r="N413" s="11">
        <v>21.76136</v>
      </c>
      <c r="O413" s="11">
        <v>0.95404999999999995</v>
      </c>
      <c r="P413" s="11">
        <v>23.718450000000001</v>
      </c>
      <c r="Q413" s="7"/>
    </row>
    <row r="414" spans="1:17" ht="12.75" customHeight="1" x14ac:dyDescent="0.35">
      <c r="A414" s="6" t="s">
        <v>94</v>
      </c>
      <c r="B414" s="6" t="s">
        <v>95</v>
      </c>
      <c r="C414" s="7">
        <v>2019</v>
      </c>
      <c r="D414" s="8">
        <v>23</v>
      </c>
      <c r="E414" s="9">
        <v>1.28</v>
      </c>
      <c r="F414" s="9">
        <v>32.261000000000003</v>
      </c>
      <c r="G414" s="17">
        <v>1</v>
      </c>
      <c r="H414" s="9">
        <v>0.57140000000000002</v>
      </c>
      <c r="I414" s="9">
        <v>1.4999999999999999E-2</v>
      </c>
      <c r="J414" s="9">
        <v>1.075</v>
      </c>
      <c r="K414" s="9">
        <v>3.5000000000000003E-2</v>
      </c>
      <c r="L414" s="9">
        <v>0.52200000000000002</v>
      </c>
      <c r="M414" s="11">
        <v>1.04671</v>
      </c>
      <c r="N414" s="11">
        <v>22.210909999999998</v>
      </c>
      <c r="O414" s="11">
        <v>0.95498000000000005</v>
      </c>
      <c r="P414" s="11">
        <v>24.212599999999998</v>
      </c>
      <c r="Q414" s="7"/>
    </row>
    <row r="415" spans="1:17" ht="12.75" customHeight="1" x14ac:dyDescent="0.35">
      <c r="A415" s="6" t="s">
        <v>94</v>
      </c>
      <c r="B415" s="6" t="s">
        <v>95</v>
      </c>
      <c r="C415" s="7">
        <v>2020</v>
      </c>
      <c r="D415" s="8">
        <v>24</v>
      </c>
      <c r="E415" s="9">
        <v>1.5489999999999999</v>
      </c>
      <c r="F415" s="9">
        <v>32.296999999999997</v>
      </c>
      <c r="G415" s="17">
        <v>1</v>
      </c>
      <c r="H415" s="9">
        <v>0.6</v>
      </c>
      <c r="I415" s="9">
        <v>-2.9000000000000001E-2</v>
      </c>
      <c r="J415" s="9">
        <v>0.98499999999999999</v>
      </c>
      <c r="K415" s="9">
        <v>-7.2999999999999995E-2</v>
      </c>
      <c r="L415" s="9">
        <v>0.38300000000000001</v>
      </c>
      <c r="M415" s="11">
        <v>0.95794999999999997</v>
      </c>
      <c r="N415" s="11">
        <v>22.962620000000001</v>
      </c>
      <c r="O415" s="11">
        <v>0.95645000000000002</v>
      </c>
      <c r="P415" s="11">
        <v>24.877020000000002</v>
      </c>
      <c r="Q415" s="7"/>
    </row>
    <row r="416" spans="1:17" ht="12.75" customHeight="1" x14ac:dyDescent="0.35">
      <c r="A416" s="6" t="s">
        <v>94</v>
      </c>
      <c r="B416" s="6" t="s">
        <v>95</v>
      </c>
      <c r="C416" s="7">
        <v>2021</v>
      </c>
      <c r="D416" s="8">
        <v>25</v>
      </c>
      <c r="E416" s="9">
        <v>1.286</v>
      </c>
      <c r="F416" s="9">
        <v>32.305</v>
      </c>
      <c r="G416" s="17">
        <v>1</v>
      </c>
      <c r="H416" s="9">
        <v>0.6</v>
      </c>
      <c r="I416" s="9">
        <v>4.9000000000000002E-2</v>
      </c>
      <c r="J416" s="9">
        <v>0.874</v>
      </c>
      <c r="K416" s="9">
        <v>0.111</v>
      </c>
      <c r="L416" s="9">
        <v>0.40400000000000003</v>
      </c>
      <c r="M416" s="11">
        <v>0.76981999999999995</v>
      </c>
      <c r="N416" s="11">
        <v>19.883929999999999</v>
      </c>
      <c r="O416" s="11">
        <v>0.94971000000000005</v>
      </c>
      <c r="P416" s="11">
        <v>21.603449999999999</v>
      </c>
      <c r="Q416" s="7"/>
    </row>
    <row r="417" spans="1:17" ht="12.75" customHeight="1" x14ac:dyDescent="0.35">
      <c r="A417" s="6" t="s">
        <v>94</v>
      </c>
      <c r="B417" s="6" t="s">
        <v>95</v>
      </c>
      <c r="C417" s="7">
        <v>2022</v>
      </c>
      <c r="D417" s="8">
        <v>26</v>
      </c>
      <c r="E417" s="9">
        <v>1.0900000000000001</v>
      </c>
      <c r="F417" s="9">
        <v>32.36</v>
      </c>
      <c r="G417" s="17">
        <v>1</v>
      </c>
      <c r="H417" s="9">
        <v>0.6</v>
      </c>
      <c r="I417" s="9">
        <v>5.6000000000000001E-2</v>
      </c>
      <c r="J417" s="9">
        <v>0.89900000000000002</v>
      </c>
      <c r="K417" s="9">
        <v>0.11700000000000001</v>
      </c>
      <c r="L417" s="9">
        <v>0.496</v>
      </c>
      <c r="M417" s="11">
        <v>0.87973999999999997</v>
      </c>
      <c r="N417" s="11">
        <v>17.14359</v>
      </c>
      <c r="O417" s="11">
        <v>0.94167000000000001</v>
      </c>
      <c r="P417" s="11">
        <v>18.965</v>
      </c>
      <c r="Q417" s="7"/>
    </row>
    <row r="418" spans="1:17" ht="12.75" customHeight="1" x14ac:dyDescent="0.35">
      <c r="A418" s="6" t="s">
        <v>96</v>
      </c>
      <c r="B418" s="6" t="s">
        <v>97</v>
      </c>
      <c r="C418" s="7">
        <v>2012</v>
      </c>
      <c r="D418" s="8">
        <f t="shared" ref="D418:D423" si="72">D419-1</f>
        <v>29</v>
      </c>
      <c r="E418" s="9">
        <v>1.2680400000000001</v>
      </c>
      <c r="F418" s="9">
        <v>26.705400000000001</v>
      </c>
      <c r="G418" s="10">
        <v>0</v>
      </c>
      <c r="H418" s="9">
        <f t="shared" ref="H418:H421" si="73">H419</f>
        <v>0.66666666666666663</v>
      </c>
      <c r="I418" s="9">
        <v>-2.29E-2</v>
      </c>
      <c r="J418" s="9">
        <v>0.89976</v>
      </c>
      <c r="K418" s="9">
        <v>-5.1900000000000002E-2</v>
      </c>
      <c r="L418" s="9">
        <v>0.74309999999999998</v>
      </c>
      <c r="M418" s="11">
        <v>1.5279199999999999</v>
      </c>
      <c r="N418" s="11">
        <v>25.257159999999999</v>
      </c>
      <c r="O418" s="11">
        <v>0.96040999999999999</v>
      </c>
      <c r="P418" s="11">
        <v>27.745480000000001</v>
      </c>
      <c r="Q418" s="7"/>
    </row>
    <row r="419" spans="1:17" ht="12.75" customHeight="1" x14ac:dyDescent="0.35">
      <c r="A419" s="6" t="s">
        <v>96</v>
      </c>
      <c r="B419" s="6" t="s">
        <v>97</v>
      </c>
      <c r="C419" s="7">
        <v>2013</v>
      </c>
      <c r="D419" s="8">
        <f t="shared" si="72"/>
        <v>30</v>
      </c>
      <c r="E419" s="9">
        <v>1.06412</v>
      </c>
      <c r="F419" s="9">
        <v>26.613700000000001</v>
      </c>
      <c r="G419" s="10">
        <v>0</v>
      </c>
      <c r="H419" s="9">
        <f t="shared" si="73"/>
        <v>0.66666666666666663</v>
      </c>
      <c r="I419" s="9">
        <v>8.9999999999999998E-4</v>
      </c>
      <c r="J419" s="9">
        <v>0.65825</v>
      </c>
      <c r="K419" s="9">
        <v>1.9E-3</v>
      </c>
      <c r="L419" s="9">
        <v>0.56040000000000001</v>
      </c>
      <c r="M419" s="11">
        <v>0.94674999999999998</v>
      </c>
      <c r="N419" s="11">
        <v>793.96559999999999</v>
      </c>
      <c r="O419" s="11">
        <v>0.99873999999999996</v>
      </c>
      <c r="P419" s="11">
        <v>795.91108999999994</v>
      </c>
      <c r="Q419" s="7"/>
    </row>
    <row r="420" spans="1:17" ht="12.75" customHeight="1" x14ac:dyDescent="0.35">
      <c r="A420" s="6" t="s">
        <v>96</v>
      </c>
      <c r="B420" s="6" t="s">
        <v>97</v>
      </c>
      <c r="C420" s="7">
        <v>2014</v>
      </c>
      <c r="D420" s="8">
        <f t="shared" si="72"/>
        <v>31</v>
      </c>
      <c r="E420" s="9">
        <v>1.1094599999999999</v>
      </c>
      <c r="F420" s="9">
        <v>26.439800000000002</v>
      </c>
      <c r="G420" s="10">
        <v>0</v>
      </c>
      <c r="H420" s="9">
        <f t="shared" si="73"/>
        <v>0.66666666666666663</v>
      </c>
      <c r="I420" s="9">
        <v>-8.8599999999999998E-2</v>
      </c>
      <c r="J420" s="9">
        <v>0.69972000000000001</v>
      </c>
      <c r="K420" s="9">
        <v>-0.18690000000000001</v>
      </c>
      <c r="L420" s="9">
        <v>0.2515</v>
      </c>
      <c r="M420" s="11">
        <v>0.63615999999999995</v>
      </c>
      <c r="N420" s="11">
        <v>7.0606299999999997</v>
      </c>
      <c r="O420" s="11">
        <v>0.85836999999999997</v>
      </c>
      <c r="P420" s="11">
        <v>8.5551499999999994</v>
      </c>
      <c r="Q420" s="7"/>
    </row>
    <row r="421" spans="1:17" ht="12.75" customHeight="1" x14ac:dyDescent="0.35">
      <c r="A421" s="6" t="s">
        <v>96</v>
      </c>
      <c r="B421" s="6" t="s">
        <v>97</v>
      </c>
      <c r="C421" s="7">
        <v>2015</v>
      </c>
      <c r="D421" s="8">
        <f t="shared" si="72"/>
        <v>32</v>
      </c>
      <c r="E421" s="9">
        <v>1.0427299999999999</v>
      </c>
      <c r="F421" s="9">
        <v>25.8626</v>
      </c>
      <c r="G421" s="10">
        <v>0</v>
      </c>
      <c r="H421" s="9">
        <f t="shared" si="73"/>
        <v>0.66666666666666663</v>
      </c>
      <c r="I421" s="9">
        <v>-0.36180000000000001</v>
      </c>
      <c r="J421" s="9">
        <v>0.68630999999999998</v>
      </c>
      <c r="K421" s="9">
        <v>-0.73899999999999999</v>
      </c>
      <c r="L421" s="9">
        <v>0.11609999999999999</v>
      </c>
      <c r="M421" s="11">
        <v>0.70928000000000002</v>
      </c>
      <c r="N421" s="11">
        <v>14.06061</v>
      </c>
      <c r="O421" s="11">
        <v>0.92888000000000004</v>
      </c>
      <c r="P421" s="11">
        <v>15.69876</v>
      </c>
      <c r="Q421" s="7"/>
    </row>
    <row r="422" spans="1:17" ht="12.75" customHeight="1" x14ac:dyDescent="0.35">
      <c r="A422" s="6" t="s">
        <v>96</v>
      </c>
      <c r="B422" s="6" t="s">
        <v>97</v>
      </c>
      <c r="C422" s="7">
        <v>2016</v>
      </c>
      <c r="D422" s="8">
        <f t="shared" si="72"/>
        <v>33</v>
      </c>
      <c r="E422" s="9">
        <v>1.2598199999999999</v>
      </c>
      <c r="F422" s="9">
        <v>25.783999999999999</v>
      </c>
      <c r="G422" s="10">
        <v>0</v>
      </c>
      <c r="H422" s="9">
        <v>0.66666666666666663</v>
      </c>
      <c r="I422" s="9">
        <v>-8.6699999999999999E-2</v>
      </c>
      <c r="J422" s="9">
        <v>0.74772000000000005</v>
      </c>
      <c r="K422" s="9">
        <v>-0.19589999999999999</v>
      </c>
      <c r="L422" s="9">
        <v>5.33E-2</v>
      </c>
      <c r="M422" s="11">
        <v>0.22508</v>
      </c>
      <c r="N422" s="11">
        <v>3.4871300000000001</v>
      </c>
      <c r="O422" s="11">
        <v>0.71323000000000003</v>
      </c>
      <c r="P422" s="11">
        <v>4.42544</v>
      </c>
      <c r="Q422" s="7"/>
    </row>
    <row r="423" spans="1:17" ht="12.75" customHeight="1" x14ac:dyDescent="0.35">
      <c r="A423" s="6" t="s">
        <v>96</v>
      </c>
      <c r="B423" s="6" t="s">
        <v>97</v>
      </c>
      <c r="C423" s="7">
        <v>2017</v>
      </c>
      <c r="D423" s="8">
        <f t="shared" si="72"/>
        <v>34</v>
      </c>
      <c r="E423" s="9">
        <v>1.31551</v>
      </c>
      <c r="F423" s="9">
        <v>25.645900000000001</v>
      </c>
      <c r="G423" s="10">
        <v>0</v>
      </c>
      <c r="H423" s="9">
        <f>H424</f>
        <v>0.66669999999999996</v>
      </c>
      <c r="I423" s="9">
        <v>-7.5999999999999998E-2</v>
      </c>
      <c r="J423" s="9">
        <v>0.86077999999999999</v>
      </c>
      <c r="K423" s="9">
        <v>-0.17599999999999999</v>
      </c>
      <c r="L423" s="9">
        <v>8.1199999999999994E-2</v>
      </c>
      <c r="M423" s="11">
        <v>0.44527</v>
      </c>
      <c r="N423" s="11">
        <v>5.9355500000000001</v>
      </c>
      <c r="O423" s="11">
        <v>0.83152000000000004</v>
      </c>
      <c r="P423" s="11">
        <v>7.2123400000000002</v>
      </c>
      <c r="Q423" s="7"/>
    </row>
    <row r="424" spans="1:17" ht="12.75" customHeight="1" x14ac:dyDescent="0.35">
      <c r="A424" s="6" t="s">
        <v>96</v>
      </c>
      <c r="B424" s="6" t="s">
        <v>97</v>
      </c>
      <c r="C424" s="7">
        <v>2018</v>
      </c>
      <c r="D424" s="8">
        <v>35</v>
      </c>
      <c r="E424" s="9">
        <v>1.3009999999999999</v>
      </c>
      <c r="F424" s="9">
        <v>25.574000000000002</v>
      </c>
      <c r="G424" s="17">
        <v>0</v>
      </c>
      <c r="H424" s="9">
        <v>0.66669999999999996</v>
      </c>
      <c r="I424" s="9">
        <v>-0.03</v>
      </c>
      <c r="J424" s="9">
        <v>1.0580000000000001</v>
      </c>
      <c r="K424" s="9">
        <v>-6.9000000000000006E-2</v>
      </c>
      <c r="L424" s="9">
        <v>5.2999999999999999E-2</v>
      </c>
      <c r="M424" s="11">
        <v>0.15348999999999999</v>
      </c>
      <c r="N424" s="11">
        <v>3.7530299999999999</v>
      </c>
      <c r="O424" s="11">
        <v>0.73355000000000004</v>
      </c>
      <c r="P424" s="11">
        <v>4.6400800000000002</v>
      </c>
      <c r="Q424" s="7"/>
    </row>
    <row r="425" spans="1:17" ht="12.75" customHeight="1" x14ac:dyDescent="0.35">
      <c r="A425" s="6" t="s">
        <v>96</v>
      </c>
      <c r="B425" s="6" t="s">
        <v>97</v>
      </c>
      <c r="C425" s="7">
        <v>2019</v>
      </c>
      <c r="D425" s="8">
        <v>36</v>
      </c>
      <c r="E425" s="9">
        <v>4.0010000000000003</v>
      </c>
      <c r="F425" s="9">
        <v>24.995000000000001</v>
      </c>
      <c r="G425" s="17">
        <v>0</v>
      </c>
      <c r="H425" s="9">
        <v>0.66669999999999996</v>
      </c>
      <c r="I425" s="9">
        <v>-0.57899999999999996</v>
      </c>
      <c r="J425" s="9">
        <v>1.353</v>
      </c>
      <c r="K425" s="9">
        <v>-2.8959999999999999</v>
      </c>
      <c r="L425" s="9">
        <v>0.185</v>
      </c>
      <c r="M425" s="11">
        <v>-3.5610000000000003E-2</v>
      </c>
      <c r="N425" s="11">
        <v>-0.16045999999999999</v>
      </c>
      <c r="O425" s="11">
        <v>7.2319000000000004</v>
      </c>
      <c r="P425" s="11">
        <v>7.0358299999999998</v>
      </c>
      <c r="Q425" s="7"/>
    </row>
    <row r="426" spans="1:17" ht="12.75" customHeight="1" x14ac:dyDescent="0.35">
      <c r="A426" s="6" t="s">
        <v>96</v>
      </c>
      <c r="B426" s="6" t="s">
        <v>97</v>
      </c>
      <c r="C426" s="7">
        <v>2020</v>
      </c>
      <c r="D426" s="8">
        <v>37</v>
      </c>
      <c r="E426" s="9">
        <v>0.7</v>
      </c>
      <c r="F426" s="9">
        <v>24.952000000000002</v>
      </c>
      <c r="G426" s="17">
        <v>0</v>
      </c>
      <c r="H426" s="9">
        <v>0.66669999999999996</v>
      </c>
      <c r="I426" s="9">
        <v>0</v>
      </c>
      <c r="J426" s="9">
        <v>0.88400000000000001</v>
      </c>
      <c r="K426" s="9">
        <v>1E-3</v>
      </c>
      <c r="L426" s="9">
        <v>0.252</v>
      </c>
      <c r="M426" s="11">
        <v>0.36898999999999998</v>
      </c>
      <c r="N426" s="11">
        <v>4.9160199999999996</v>
      </c>
      <c r="O426" s="11">
        <v>0.79657999999999995</v>
      </c>
      <c r="P426" s="11">
        <v>6.0815900000000003</v>
      </c>
      <c r="Q426" s="7"/>
    </row>
    <row r="427" spans="1:17" ht="12.75" customHeight="1" x14ac:dyDescent="0.35">
      <c r="A427" s="6" t="s">
        <v>96</v>
      </c>
      <c r="B427" s="6" t="s">
        <v>97</v>
      </c>
      <c r="C427" s="7">
        <v>2021</v>
      </c>
      <c r="D427" s="8">
        <v>38</v>
      </c>
      <c r="E427" s="9">
        <v>0.61399999999999999</v>
      </c>
      <c r="F427" s="9">
        <v>24.890999999999998</v>
      </c>
      <c r="G427" s="17">
        <v>0</v>
      </c>
      <c r="H427" s="9">
        <v>0.66669999999999996</v>
      </c>
      <c r="I427" s="9">
        <v>-1.4E-2</v>
      </c>
      <c r="J427" s="9">
        <v>2.2010000000000001</v>
      </c>
      <c r="K427" s="9">
        <v>-2.1999999999999999E-2</v>
      </c>
      <c r="L427" s="9">
        <v>4.8000000000000001E-2</v>
      </c>
      <c r="M427" s="11">
        <v>0.15784000000000001</v>
      </c>
      <c r="N427" s="11">
        <v>3.6570299999999998</v>
      </c>
      <c r="O427" s="11">
        <v>0.72655000000000003</v>
      </c>
      <c r="P427" s="11">
        <v>4.5414199999999996</v>
      </c>
      <c r="Q427" s="7"/>
    </row>
    <row r="428" spans="1:17" ht="12.75" customHeight="1" x14ac:dyDescent="0.35">
      <c r="A428" s="6" t="s">
        <v>96</v>
      </c>
      <c r="B428" s="6" t="s">
        <v>97</v>
      </c>
      <c r="C428" s="7">
        <v>2022</v>
      </c>
      <c r="D428" s="8">
        <v>39</v>
      </c>
      <c r="E428" s="9">
        <v>5.7249999999999996</v>
      </c>
      <c r="F428" s="9">
        <v>24.995000000000001</v>
      </c>
      <c r="G428" s="17">
        <v>0</v>
      </c>
      <c r="H428" s="9">
        <v>0.66669999999999996</v>
      </c>
      <c r="I428" s="9">
        <v>-0.41099999999999998</v>
      </c>
      <c r="J428" s="9">
        <v>3.012</v>
      </c>
      <c r="K428" s="9">
        <v>-2.7610000000000001</v>
      </c>
      <c r="L428" s="9">
        <v>0.371</v>
      </c>
      <c r="M428" s="11">
        <v>4.5293900000000002</v>
      </c>
      <c r="N428" s="11">
        <v>4.5362799999999996</v>
      </c>
      <c r="O428" s="11">
        <v>0.77956000000000003</v>
      </c>
      <c r="P428" s="11">
        <v>9.8452300000000008</v>
      </c>
      <c r="Q428" s="7"/>
    </row>
    <row r="429" spans="1:17" ht="12.75" customHeight="1" x14ac:dyDescent="0.35">
      <c r="A429" s="6" t="s">
        <v>98</v>
      </c>
      <c r="B429" s="6" t="s">
        <v>99</v>
      </c>
      <c r="C429" s="7">
        <v>2017</v>
      </c>
      <c r="D429" s="8">
        <f>D430-1</f>
        <v>10</v>
      </c>
      <c r="E429" s="9">
        <v>0.66430999999999996</v>
      </c>
      <c r="F429" s="9">
        <v>27.9526</v>
      </c>
      <c r="G429" s="10">
        <v>0</v>
      </c>
      <c r="H429" s="9">
        <f>H430</f>
        <v>0.66669999999999996</v>
      </c>
      <c r="I429" s="9">
        <v>3.85E-2</v>
      </c>
      <c r="J429" s="9">
        <v>0.80028999999999995</v>
      </c>
      <c r="K429" s="9">
        <v>6.4100000000000004E-2</v>
      </c>
      <c r="L429" s="9">
        <v>0.48139999999999999</v>
      </c>
      <c r="M429" s="11">
        <v>0.77039000000000002</v>
      </c>
      <c r="N429" s="11">
        <v>8.2489100000000004</v>
      </c>
      <c r="O429" s="11">
        <v>0.87877000000000005</v>
      </c>
      <c r="P429" s="11">
        <v>9.8980599999999992</v>
      </c>
      <c r="Q429" s="7"/>
    </row>
    <row r="430" spans="1:17" ht="12.75" customHeight="1" x14ac:dyDescent="0.35">
      <c r="A430" s="6" t="s">
        <v>98</v>
      </c>
      <c r="B430" s="6" t="s">
        <v>99</v>
      </c>
      <c r="C430" s="7">
        <v>2018</v>
      </c>
      <c r="D430" s="8">
        <v>11</v>
      </c>
      <c r="E430" s="9">
        <v>0.53500000000000003</v>
      </c>
      <c r="F430" s="9">
        <v>28.116</v>
      </c>
      <c r="G430" s="17">
        <v>1</v>
      </c>
      <c r="H430" s="9">
        <v>0.66669999999999996</v>
      </c>
      <c r="I430" s="9">
        <v>0.127</v>
      </c>
      <c r="J430" s="9">
        <v>0.83499999999999996</v>
      </c>
      <c r="K430" s="9">
        <v>0.19500000000000001</v>
      </c>
      <c r="L430" s="9">
        <v>0.57699999999999996</v>
      </c>
      <c r="M430" s="11">
        <v>0.73199999999999998</v>
      </c>
      <c r="N430" s="11">
        <v>7.4796300000000002</v>
      </c>
      <c r="O430" s="11">
        <v>0.86629999999999996</v>
      </c>
      <c r="P430" s="11">
        <v>9.0779300000000003</v>
      </c>
      <c r="Q430" s="7"/>
    </row>
    <row r="431" spans="1:17" ht="12.75" customHeight="1" x14ac:dyDescent="0.35">
      <c r="A431" s="6" t="s">
        <v>98</v>
      </c>
      <c r="B431" s="6" t="s">
        <v>99</v>
      </c>
      <c r="C431" s="7">
        <v>2019</v>
      </c>
      <c r="D431" s="8">
        <v>12</v>
      </c>
      <c r="E431" s="9">
        <v>0.61699999999999999</v>
      </c>
      <c r="F431" s="9">
        <v>28.318999999999999</v>
      </c>
      <c r="G431" s="17">
        <v>1</v>
      </c>
      <c r="H431" s="9">
        <v>0.66669999999999996</v>
      </c>
      <c r="I431" s="9">
        <v>9.2999999999999999E-2</v>
      </c>
      <c r="J431" s="9">
        <v>0.88500000000000001</v>
      </c>
      <c r="K431" s="9">
        <v>0.15</v>
      </c>
      <c r="L431" s="9">
        <v>0.52600000000000002</v>
      </c>
      <c r="M431" s="11">
        <v>0.77664</v>
      </c>
      <c r="N431" s="11">
        <v>7.3461499999999997</v>
      </c>
      <c r="O431" s="11">
        <v>0.86387000000000003</v>
      </c>
      <c r="P431" s="11">
        <v>8.9866700000000002</v>
      </c>
      <c r="Q431" s="7"/>
    </row>
    <row r="432" spans="1:17" ht="12.75" customHeight="1" x14ac:dyDescent="0.35">
      <c r="A432" s="6" t="s">
        <v>98</v>
      </c>
      <c r="B432" s="6" t="s">
        <v>99</v>
      </c>
      <c r="C432" s="7">
        <v>2020</v>
      </c>
      <c r="D432" s="8">
        <v>13</v>
      </c>
      <c r="E432" s="9">
        <v>0.55300000000000005</v>
      </c>
      <c r="F432" s="9">
        <v>28.359000000000002</v>
      </c>
      <c r="G432" s="17">
        <v>0</v>
      </c>
      <c r="H432" s="9">
        <v>0.66669999999999996</v>
      </c>
      <c r="I432" s="9">
        <v>5.7000000000000002E-2</v>
      </c>
      <c r="J432" s="9">
        <v>0.81100000000000005</v>
      </c>
      <c r="K432" s="9">
        <v>8.8999999999999996E-2</v>
      </c>
      <c r="L432" s="9">
        <v>0.46600000000000003</v>
      </c>
      <c r="M432" s="11">
        <v>0.69903999999999999</v>
      </c>
      <c r="N432" s="11">
        <v>8.1380499999999998</v>
      </c>
      <c r="O432" s="11">
        <v>0.87712000000000001</v>
      </c>
      <c r="P432" s="11">
        <v>9.7142199999999992</v>
      </c>
      <c r="Q432" s="7"/>
    </row>
    <row r="433" spans="1:17" ht="12.75" customHeight="1" x14ac:dyDescent="0.35">
      <c r="A433" s="6" t="s">
        <v>98</v>
      </c>
      <c r="B433" s="6" t="s">
        <v>99</v>
      </c>
      <c r="C433" s="7">
        <v>2021</v>
      </c>
      <c r="D433" s="8">
        <v>14</v>
      </c>
      <c r="E433" s="9">
        <v>0.40600000000000003</v>
      </c>
      <c r="F433" s="9">
        <v>28.463999999999999</v>
      </c>
      <c r="G433" s="17">
        <v>1</v>
      </c>
      <c r="H433" s="9">
        <v>0.66669999999999996</v>
      </c>
      <c r="I433" s="9">
        <v>0.155</v>
      </c>
      <c r="J433" s="9">
        <v>1.2350000000000001</v>
      </c>
      <c r="K433" s="9">
        <v>0.218</v>
      </c>
      <c r="L433" s="9">
        <v>0.67400000000000004</v>
      </c>
      <c r="M433" s="11">
        <v>0.72304000000000002</v>
      </c>
      <c r="N433" s="11">
        <v>20.668310000000002</v>
      </c>
      <c r="O433" s="11">
        <v>0.95162000000000002</v>
      </c>
      <c r="P433" s="11">
        <v>22.342970000000001</v>
      </c>
      <c r="Q433" s="7"/>
    </row>
    <row r="434" spans="1:17" ht="12.75" customHeight="1" x14ac:dyDescent="0.35">
      <c r="A434" s="6" t="s">
        <v>98</v>
      </c>
      <c r="B434" s="6" t="s">
        <v>99</v>
      </c>
      <c r="C434" s="7">
        <v>2022</v>
      </c>
      <c r="D434" s="8">
        <v>15</v>
      </c>
      <c r="E434" s="9">
        <v>0.23</v>
      </c>
      <c r="F434" s="9">
        <v>28.667999999999999</v>
      </c>
      <c r="G434" s="17">
        <v>1</v>
      </c>
      <c r="H434" s="9">
        <v>0.66669999999999996</v>
      </c>
      <c r="I434" s="9">
        <v>0.23599999999999999</v>
      </c>
      <c r="J434" s="9">
        <v>1.329</v>
      </c>
      <c r="K434" s="9">
        <v>0.28999999999999998</v>
      </c>
      <c r="L434" s="9">
        <v>0.66500000000000004</v>
      </c>
      <c r="M434" s="11">
        <v>0.49642999999999998</v>
      </c>
      <c r="N434" s="11">
        <v>17.136089999999999</v>
      </c>
      <c r="O434" s="11">
        <v>0.94164000000000003</v>
      </c>
      <c r="P434" s="11">
        <v>18.574159999999999</v>
      </c>
      <c r="Q434" s="7"/>
    </row>
    <row r="435" spans="1:17" ht="12.75" customHeight="1" x14ac:dyDescent="0.35">
      <c r="A435" s="6" t="s">
        <v>100</v>
      </c>
      <c r="B435" s="6" t="s">
        <v>101</v>
      </c>
      <c r="C435" s="7">
        <v>2012</v>
      </c>
      <c r="D435" s="8">
        <f t="shared" ref="D435:D440" si="74">D436-1</f>
        <v>32</v>
      </c>
      <c r="E435" s="9">
        <v>0.49662000000000001</v>
      </c>
      <c r="F435" s="9">
        <v>30.174900000000001</v>
      </c>
      <c r="G435" s="10">
        <v>1</v>
      </c>
      <c r="H435" s="9">
        <f t="shared" ref="H435:H438" si="75">H436</f>
        <v>0.66666666666666663</v>
      </c>
      <c r="I435" s="9">
        <v>0.2278</v>
      </c>
      <c r="J435" s="9">
        <v>3.06515</v>
      </c>
      <c r="K435" s="9">
        <v>0.34100000000000003</v>
      </c>
      <c r="L435" s="9">
        <v>0.91080000000000005</v>
      </c>
      <c r="M435" s="11">
        <v>1.1293800000000001</v>
      </c>
      <c r="N435" s="11">
        <v>7.4984099999999998</v>
      </c>
      <c r="O435" s="11">
        <v>0.86663999999999997</v>
      </c>
      <c r="P435" s="11">
        <v>9.4944199999999999</v>
      </c>
      <c r="Q435" s="7"/>
    </row>
    <row r="436" spans="1:17" ht="12.75" customHeight="1" x14ac:dyDescent="0.35">
      <c r="A436" s="6" t="s">
        <v>100</v>
      </c>
      <c r="B436" s="6" t="s">
        <v>101</v>
      </c>
      <c r="C436" s="7">
        <v>2013</v>
      </c>
      <c r="D436" s="8">
        <f t="shared" si="74"/>
        <v>33</v>
      </c>
      <c r="E436" s="9">
        <v>0.54632000000000003</v>
      </c>
      <c r="F436" s="9">
        <v>30.088699999999999</v>
      </c>
      <c r="G436" s="10">
        <v>1</v>
      </c>
      <c r="H436" s="9">
        <f t="shared" si="75"/>
        <v>0.66666666666666663</v>
      </c>
      <c r="I436" s="9">
        <v>0.15640000000000001</v>
      </c>
      <c r="J436" s="9">
        <v>2.3659599999999998</v>
      </c>
      <c r="K436" s="9">
        <v>0.24179999999999999</v>
      </c>
      <c r="L436" s="9">
        <v>0.95989999999999998</v>
      </c>
      <c r="M436" s="11">
        <v>1.4102699999999999</v>
      </c>
      <c r="N436" s="11">
        <v>7.8322599999999998</v>
      </c>
      <c r="O436" s="11">
        <v>0.87231999999999998</v>
      </c>
      <c r="P436" s="11">
        <v>10.114850000000001</v>
      </c>
      <c r="Q436" s="7"/>
    </row>
    <row r="437" spans="1:17" ht="12.75" customHeight="1" x14ac:dyDescent="0.35">
      <c r="A437" s="6" t="s">
        <v>100</v>
      </c>
      <c r="B437" s="6" t="s">
        <v>101</v>
      </c>
      <c r="C437" s="7">
        <v>2014</v>
      </c>
      <c r="D437" s="8">
        <f t="shared" si="74"/>
        <v>34</v>
      </c>
      <c r="E437" s="9">
        <v>0.74316000000000004</v>
      </c>
      <c r="F437" s="9">
        <v>30.329699999999999</v>
      </c>
      <c r="G437" s="10">
        <v>1</v>
      </c>
      <c r="H437" s="9">
        <f t="shared" si="75"/>
        <v>0.66666666666666663</v>
      </c>
      <c r="I437" s="9">
        <v>0.12520000000000001</v>
      </c>
      <c r="J437" s="9">
        <v>2.3644500000000002</v>
      </c>
      <c r="K437" s="9">
        <v>0.21829999999999999</v>
      </c>
      <c r="L437" s="9">
        <v>0.88</v>
      </c>
      <c r="M437" s="11">
        <v>1.4569300000000001</v>
      </c>
      <c r="N437" s="11">
        <v>10.58921</v>
      </c>
      <c r="O437" s="11">
        <v>0.90556000000000003</v>
      </c>
      <c r="P437" s="11">
        <v>12.951700000000001</v>
      </c>
      <c r="Q437" s="7"/>
    </row>
    <row r="438" spans="1:17" ht="12.75" customHeight="1" x14ac:dyDescent="0.35">
      <c r="A438" s="6" t="s">
        <v>100</v>
      </c>
      <c r="B438" s="6" t="s">
        <v>101</v>
      </c>
      <c r="C438" s="7">
        <v>2015</v>
      </c>
      <c r="D438" s="8">
        <f t="shared" si="74"/>
        <v>35</v>
      </c>
      <c r="E438" s="9">
        <v>0.81899999999999995</v>
      </c>
      <c r="F438" s="9">
        <v>30.457999999999998</v>
      </c>
      <c r="G438" s="10">
        <v>1</v>
      </c>
      <c r="H438" s="9">
        <f t="shared" si="75"/>
        <v>0.66666666666666663</v>
      </c>
      <c r="I438" s="9">
        <v>0.1205</v>
      </c>
      <c r="J438" s="9">
        <v>1.0673999999999999</v>
      </c>
      <c r="K438" s="9">
        <v>0.21920000000000001</v>
      </c>
      <c r="L438" s="9">
        <v>0.81289999999999996</v>
      </c>
      <c r="M438" s="11">
        <v>1.38083</v>
      </c>
      <c r="N438" s="11">
        <v>9.2279099999999996</v>
      </c>
      <c r="O438" s="11">
        <v>0.89163000000000003</v>
      </c>
      <c r="P438" s="11">
        <v>11.50038</v>
      </c>
      <c r="Q438" s="7"/>
    </row>
    <row r="439" spans="1:17" ht="12.75" customHeight="1" x14ac:dyDescent="0.35">
      <c r="A439" s="6" t="s">
        <v>100</v>
      </c>
      <c r="B439" s="6" t="s">
        <v>101</v>
      </c>
      <c r="C439" s="7">
        <v>2016</v>
      </c>
      <c r="D439" s="8">
        <f t="shared" si="74"/>
        <v>36</v>
      </c>
      <c r="E439" s="9">
        <v>0.76043000000000005</v>
      </c>
      <c r="F439" s="9">
        <v>30.552900000000001</v>
      </c>
      <c r="G439" s="10">
        <v>1</v>
      </c>
      <c r="H439" s="9">
        <v>0.66666666666666663</v>
      </c>
      <c r="I439" s="9">
        <v>0.108</v>
      </c>
      <c r="J439" s="9">
        <v>1.98237</v>
      </c>
      <c r="K439" s="9">
        <v>0.19009999999999999</v>
      </c>
      <c r="L439" s="9">
        <v>0.75680000000000003</v>
      </c>
      <c r="M439" s="11">
        <v>1.23675</v>
      </c>
      <c r="N439" s="11">
        <v>9.1081900000000005</v>
      </c>
      <c r="O439" s="11">
        <v>0.89020999999999995</v>
      </c>
      <c r="P439" s="11">
        <v>11.235150000000001</v>
      </c>
      <c r="Q439" s="7"/>
    </row>
    <row r="440" spans="1:17" ht="12.75" customHeight="1" x14ac:dyDescent="0.35">
      <c r="A440" s="6" t="s">
        <v>100</v>
      </c>
      <c r="B440" s="6" t="s">
        <v>101</v>
      </c>
      <c r="C440" s="7">
        <v>2017</v>
      </c>
      <c r="D440" s="8">
        <f t="shared" si="74"/>
        <v>37</v>
      </c>
      <c r="E440" s="9">
        <v>0.59330000000000005</v>
      </c>
      <c r="F440" s="9">
        <v>30.721499999999999</v>
      </c>
      <c r="G440" s="10">
        <v>1</v>
      </c>
      <c r="H440" s="9">
        <v>0.5</v>
      </c>
      <c r="I440" s="9">
        <v>0.2036</v>
      </c>
      <c r="J440" s="9">
        <v>1.6613199999999999</v>
      </c>
      <c r="K440" s="9">
        <v>0.32440000000000002</v>
      </c>
      <c r="L440" s="9">
        <v>0.88560000000000005</v>
      </c>
      <c r="M440" s="11">
        <v>1.16334</v>
      </c>
      <c r="N440" s="11">
        <v>6.78416</v>
      </c>
      <c r="O440" s="11">
        <v>0.85260000000000002</v>
      </c>
      <c r="P440" s="11">
        <v>8.8001000000000005</v>
      </c>
      <c r="Q440" s="7"/>
    </row>
    <row r="441" spans="1:17" ht="12.75" customHeight="1" x14ac:dyDescent="0.35">
      <c r="A441" s="6" t="s">
        <v>100</v>
      </c>
      <c r="B441" s="6" t="s">
        <v>101</v>
      </c>
      <c r="C441" s="7">
        <v>2018</v>
      </c>
      <c r="D441" s="8">
        <v>38</v>
      </c>
      <c r="E441" s="9">
        <v>0.48599999999999999</v>
      </c>
      <c r="F441" s="9">
        <v>30.815999999999999</v>
      </c>
      <c r="G441" s="17">
        <v>1</v>
      </c>
      <c r="H441" s="9">
        <v>0.5</v>
      </c>
      <c r="I441" s="9">
        <v>0.20799999999999999</v>
      </c>
      <c r="J441" s="9">
        <v>2.3759999999999999</v>
      </c>
      <c r="K441" s="9">
        <v>0.309</v>
      </c>
      <c r="L441" s="9">
        <v>0.876</v>
      </c>
      <c r="M441" s="11">
        <v>1.10747</v>
      </c>
      <c r="N441" s="11">
        <v>6.3163600000000004</v>
      </c>
      <c r="O441" s="11">
        <v>0.84167999999999998</v>
      </c>
      <c r="P441" s="11">
        <v>8.2655100000000008</v>
      </c>
      <c r="Q441" s="7"/>
    </row>
    <row r="442" spans="1:17" ht="12.75" customHeight="1" x14ac:dyDescent="0.35">
      <c r="A442" s="6" t="s">
        <v>100</v>
      </c>
      <c r="B442" s="6" t="s">
        <v>101</v>
      </c>
      <c r="C442" s="7">
        <v>2019</v>
      </c>
      <c r="D442" s="8">
        <v>39</v>
      </c>
      <c r="E442" s="9">
        <v>0.41699999999999998</v>
      </c>
      <c r="F442" s="9">
        <v>30.893000000000001</v>
      </c>
      <c r="G442" s="17">
        <v>1</v>
      </c>
      <c r="H442" s="9">
        <v>0.5</v>
      </c>
      <c r="I442" s="9">
        <v>0.155</v>
      </c>
      <c r="J442" s="9">
        <v>1.468</v>
      </c>
      <c r="K442" s="9">
        <v>0.219</v>
      </c>
      <c r="L442" s="9">
        <v>0.83499999999999996</v>
      </c>
      <c r="M442" s="11">
        <v>1.05535</v>
      </c>
      <c r="N442" s="11">
        <v>8.0739999999999998</v>
      </c>
      <c r="O442" s="11">
        <v>0.87614999999999998</v>
      </c>
      <c r="P442" s="11">
        <v>10.0055</v>
      </c>
      <c r="Q442" s="7"/>
    </row>
    <row r="443" spans="1:17" ht="12.75" customHeight="1" x14ac:dyDescent="0.35">
      <c r="A443" s="6" t="s">
        <v>100</v>
      </c>
      <c r="B443" s="6" t="s">
        <v>101</v>
      </c>
      <c r="C443" s="7">
        <v>2020</v>
      </c>
      <c r="D443" s="8">
        <v>40</v>
      </c>
      <c r="E443" s="9">
        <v>0.42</v>
      </c>
      <c r="F443" s="9">
        <v>30.811</v>
      </c>
      <c r="G443" s="17">
        <v>1</v>
      </c>
      <c r="H443" s="9">
        <v>0.5</v>
      </c>
      <c r="I443" s="9">
        <v>0.1</v>
      </c>
      <c r="J443" s="9">
        <v>1.6419999999999999</v>
      </c>
      <c r="K443" s="9">
        <v>0.14199999999999999</v>
      </c>
      <c r="L443" s="9">
        <v>0.72</v>
      </c>
      <c r="M443" s="11">
        <v>0.99648000000000003</v>
      </c>
      <c r="N443" s="11">
        <v>9.1496999999999993</v>
      </c>
      <c r="O443" s="11">
        <v>0.89071</v>
      </c>
      <c r="P443" s="11">
        <v>11.03689</v>
      </c>
      <c r="Q443" s="7"/>
    </row>
    <row r="444" spans="1:17" ht="12.75" customHeight="1" x14ac:dyDescent="0.35">
      <c r="A444" s="6" t="s">
        <v>100</v>
      </c>
      <c r="B444" s="6" t="s">
        <v>101</v>
      </c>
      <c r="C444" s="7">
        <v>2021</v>
      </c>
      <c r="D444" s="8">
        <v>41</v>
      </c>
      <c r="E444" s="9">
        <v>0.48899999999999999</v>
      </c>
      <c r="F444" s="9">
        <v>31.218</v>
      </c>
      <c r="G444" s="17">
        <v>1</v>
      </c>
      <c r="H444" s="9">
        <v>0.75</v>
      </c>
      <c r="I444" s="9">
        <v>0.222</v>
      </c>
      <c r="J444" s="9">
        <v>1.1930000000000001</v>
      </c>
      <c r="K444" s="9">
        <v>0.33100000000000002</v>
      </c>
      <c r="L444" s="9">
        <v>0.81</v>
      </c>
      <c r="M444" s="11">
        <v>0.95021</v>
      </c>
      <c r="N444" s="11">
        <v>6.3222800000000001</v>
      </c>
      <c r="O444" s="11">
        <v>0.84182999999999997</v>
      </c>
      <c r="P444" s="11">
        <v>8.1143099999999997</v>
      </c>
      <c r="Q444" s="7"/>
    </row>
    <row r="445" spans="1:17" ht="12.75" customHeight="1" x14ac:dyDescent="0.35">
      <c r="A445" s="6" t="s">
        <v>100</v>
      </c>
      <c r="B445" s="6" t="s">
        <v>101</v>
      </c>
      <c r="C445" s="7">
        <v>2022</v>
      </c>
      <c r="D445" s="8">
        <v>42</v>
      </c>
      <c r="E445" s="9">
        <v>0.56899999999999995</v>
      </c>
      <c r="F445" s="9">
        <v>31.446000000000002</v>
      </c>
      <c r="G445" s="17">
        <v>1</v>
      </c>
      <c r="H445" s="9">
        <v>0.5</v>
      </c>
      <c r="I445" s="9">
        <v>0.28199999999999997</v>
      </c>
      <c r="J445" s="9">
        <v>1.3</v>
      </c>
      <c r="K445" s="9">
        <v>0.442</v>
      </c>
      <c r="L445" s="9">
        <v>0.94</v>
      </c>
      <c r="M445" s="11">
        <v>1.07369</v>
      </c>
      <c r="N445" s="11">
        <v>9.9967699999999997</v>
      </c>
      <c r="O445" s="11">
        <v>0.89997000000000005</v>
      </c>
      <c r="P445" s="11">
        <v>11.97043</v>
      </c>
      <c r="Q445" s="7"/>
    </row>
    <row r="446" spans="1:17" ht="12.75" customHeight="1" x14ac:dyDescent="0.35">
      <c r="A446" s="6" t="s">
        <v>102</v>
      </c>
      <c r="B446" s="6" t="s">
        <v>103</v>
      </c>
      <c r="C446" s="7">
        <v>2012</v>
      </c>
      <c r="D446" s="8">
        <f t="shared" ref="D446:D451" si="76">D447-1</f>
        <v>27</v>
      </c>
      <c r="E446" s="9">
        <v>0.68542999999999998</v>
      </c>
      <c r="F446" s="9">
        <v>27.321300000000001</v>
      </c>
      <c r="G446" s="10">
        <v>1</v>
      </c>
      <c r="H446" s="9">
        <f t="shared" ref="H446:H449" si="77">H447</f>
        <v>0.66666666666666663</v>
      </c>
      <c r="I446" s="9">
        <v>5.2200000000000003E-2</v>
      </c>
      <c r="J446" s="9">
        <v>1.0201199999999999</v>
      </c>
      <c r="K446" s="9">
        <v>8.7999999999999995E-2</v>
      </c>
      <c r="L446" s="9">
        <v>0.57450000000000001</v>
      </c>
      <c r="M446" s="11">
        <v>0.90781000000000001</v>
      </c>
      <c r="N446" s="11">
        <v>12.61228</v>
      </c>
      <c r="O446" s="11">
        <v>0.92071000000000003</v>
      </c>
      <c r="P446" s="11">
        <v>14.440799999999999</v>
      </c>
      <c r="Q446" s="7"/>
    </row>
    <row r="447" spans="1:17" ht="12.75" customHeight="1" x14ac:dyDescent="0.35">
      <c r="A447" s="6" t="s">
        <v>102</v>
      </c>
      <c r="B447" s="6" t="s">
        <v>103</v>
      </c>
      <c r="C447" s="7">
        <v>2013</v>
      </c>
      <c r="D447" s="8">
        <f t="shared" si="76"/>
        <v>28</v>
      </c>
      <c r="E447" s="9">
        <v>0.54645999999999995</v>
      </c>
      <c r="F447" s="9">
        <v>27.398599999999998</v>
      </c>
      <c r="G447" s="10">
        <v>1</v>
      </c>
      <c r="H447" s="9">
        <f t="shared" si="77"/>
        <v>0.66666666666666663</v>
      </c>
      <c r="I447" s="9">
        <v>4.53E-2</v>
      </c>
      <c r="J447" s="9">
        <v>0.91213999999999995</v>
      </c>
      <c r="K447" s="9">
        <v>7.0099999999999996E-2</v>
      </c>
      <c r="L447" s="9">
        <v>0.48110000000000003</v>
      </c>
      <c r="M447" s="11">
        <v>0.67969999999999997</v>
      </c>
      <c r="N447" s="11">
        <v>9.0699299999999994</v>
      </c>
      <c r="O447" s="11">
        <v>0.88975000000000004</v>
      </c>
      <c r="P447" s="11">
        <v>10.639379999999999</v>
      </c>
      <c r="Q447" s="7"/>
    </row>
    <row r="448" spans="1:17" ht="12.75" customHeight="1" x14ac:dyDescent="0.35">
      <c r="A448" s="6" t="s">
        <v>102</v>
      </c>
      <c r="B448" s="6" t="s">
        <v>103</v>
      </c>
      <c r="C448" s="7">
        <v>2014</v>
      </c>
      <c r="D448" s="8">
        <f t="shared" si="76"/>
        <v>29</v>
      </c>
      <c r="E448" s="9">
        <v>0.57242999999999999</v>
      </c>
      <c r="F448" s="9">
        <v>27.412199999999999</v>
      </c>
      <c r="G448" s="10">
        <v>1</v>
      </c>
      <c r="H448" s="9">
        <f t="shared" si="77"/>
        <v>0.66666666666666663</v>
      </c>
      <c r="I448" s="9">
        <v>-8.09E-2</v>
      </c>
      <c r="J448" s="9">
        <v>0.98577000000000004</v>
      </c>
      <c r="K448" s="9">
        <v>-0.12720000000000001</v>
      </c>
      <c r="L448" s="9">
        <v>0.45550000000000002</v>
      </c>
      <c r="M448" s="11">
        <v>0.82399999999999995</v>
      </c>
      <c r="N448" s="11">
        <v>11.150359999999999</v>
      </c>
      <c r="O448" s="11">
        <v>0.91032000000000002</v>
      </c>
      <c r="P448" s="11">
        <v>12.884679999999999</v>
      </c>
      <c r="Q448" s="7"/>
    </row>
    <row r="449" spans="1:17" ht="12.75" customHeight="1" x14ac:dyDescent="0.35">
      <c r="A449" s="6" t="s">
        <v>102</v>
      </c>
      <c r="B449" s="6" t="s">
        <v>103</v>
      </c>
      <c r="C449" s="7">
        <v>2015</v>
      </c>
      <c r="D449" s="8">
        <f t="shared" si="76"/>
        <v>30</v>
      </c>
      <c r="E449" s="9">
        <v>0.94969000000000003</v>
      </c>
      <c r="F449" s="9">
        <v>27.395299999999999</v>
      </c>
      <c r="G449" s="10">
        <v>1</v>
      </c>
      <c r="H449" s="9">
        <f t="shared" si="77"/>
        <v>0.66666666666666663</v>
      </c>
      <c r="I449" s="9">
        <v>-0.21820000000000001</v>
      </c>
      <c r="J449" s="9">
        <v>1.0581799999999999</v>
      </c>
      <c r="K449" s="9">
        <v>-0.42530000000000001</v>
      </c>
      <c r="L449" s="9">
        <v>0.1145</v>
      </c>
      <c r="M449" s="11">
        <v>0.63199000000000005</v>
      </c>
      <c r="N449" s="11">
        <v>7.8076800000000004</v>
      </c>
      <c r="O449" s="11">
        <v>0.87192000000000003</v>
      </c>
      <c r="P449" s="11">
        <v>9.3115900000000007</v>
      </c>
      <c r="Q449" s="7"/>
    </row>
    <row r="450" spans="1:17" ht="12.75" customHeight="1" x14ac:dyDescent="0.35">
      <c r="A450" s="6" t="s">
        <v>102</v>
      </c>
      <c r="B450" s="6" t="s">
        <v>103</v>
      </c>
      <c r="C450" s="7">
        <v>2016</v>
      </c>
      <c r="D450" s="8">
        <f t="shared" si="76"/>
        <v>31</v>
      </c>
      <c r="E450" s="9">
        <v>1.6637500000000001</v>
      </c>
      <c r="F450" s="9">
        <v>27.104299999999999</v>
      </c>
      <c r="G450" s="10">
        <v>1</v>
      </c>
      <c r="H450" s="9">
        <v>0.66666666666666663</v>
      </c>
      <c r="I450" s="9">
        <v>-0.1656</v>
      </c>
      <c r="J450" s="9">
        <v>1.36242</v>
      </c>
      <c r="K450" s="9">
        <v>-0.44109999999999999</v>
      </c>
      <c r="L450" s="9">
        <v>0.2359</v>
      </c>
      <c r="M450" s="11">
        <v>1.00048</v>
      </c>
      <c r="N450" s="11">
        <v>8.7312700000000003</v>
      </c>
      <c r="O450" s="11">
        <v>0.88546999999999998</v>
      </c>
      <c r="P450" s="11">
        <v>10.61722</v>
      </c>
      <c r="Q450" s="7"/>
    </row>
    <row r="451" spans="1:17" ht="12.75" customHeight="1" x14ac:dyDescent="0.35">
      <c r="A451" s="6" t="s">
        <v>102</v>
      </c>
      <c r="B451" s="6" t="s">
        <v>103</v>
      </c>
      <c r="C451" s="7">
        <v>2017</v>
      </c>
      <c r="D451" s="8">
        <f t="shared" si="76"/>
        <v>32</v>
      </c>
      <c r="E451" s="9">
        <v>1.4569700000000001</v>
      </c>
      <c r="F451" s="9">
        <v>27.0168</v>
      </c>
      <c r="G451" s="10">
        <v>1</v>
      </c>
      <c r="H451" s="9">
        <v>0.66666666666666663</v>
      </c>
      <c r="I451" s="9">
        <v>-5.28E-2</v>
      </c>
      <c r="J451" s="9">
        <v>1.2030700000000001</v>
      </c>
      <c r="K451" s="9">
        <v>-0.1298</v>
      </c>
      <c r="L451" s="9">
        <v>0.27500000000000002</v>
      </c>
      <c r="M451" s="11">
        <v>0.74148999999999998</v>
      </c>
      <c r="N451" s="11">
        <v>9.3073399999999999</v>
      </c>
      <c r="O451" s="11">
        <v>0.89256000000000002</v>
      </c>
      <c r="P451" s="11">
        <v>10.94139</v>
      </c>
      <c r="Q451" s="7"/>
    </row>
    <row r="452" spans="1:17" ht="12.75" customHeight="1" x14ac:dyDescent="0.35">
      <c r="A452" s="6" t="s">
        <v>102</v>
      </c>
      <c r="B452" s="6" t="s">
        <v>103</v>
      </c>
      <c r="C452" s="7">
        <v>2018</v>
      </c>
      <c r="D452" s="8">
        <v>33</v>
      </c>
      <c r="E452" s="9">
        <v>1.31</v>
      </c>
      <c r="F452" s="9">
        <v>27.05</v>
      </c>
      <c r="G452" s="17">
        <v>0</v>
      </c>
      <c r="H452" s="9">
        <v>0.66669999999999996</v>
      </c>
      <c r="I452" s="9">
        <v>3.0000000000000001E-3</v>
      </c>
      <c r="J452" s="9">
        <v>0.88800000000000001</v>
      </c>
      <c r="K452" s="9">
        <v>7.0000000000000001E-3</v>
      </c>
      <c r="L452" s="9">
        <v>0.32200000000000001</v>
      </c>
      <c r="M452" s="11">
        <v>0.67691999999999997</v>
      </c>
      <c r="N452" s="11">
        <v>9.5932600000000008</v>
      </c>
      <c r="O452" s="11">
        <v>0.89576</v>
      </c>
      <c r="P452" s="11">
        <v>11.16595</v>
      </c>
      <c r="Q452" s="7"/>
    </row>
    <row r="453" spans="1:17" ht="12.75" customHeight="1" x14ac:dyDescent="0.35">
      <c r="A453" s="6" t="s">
        <v>102</v>
      </c>
      <c r="B453" s="6" t="s">
        <v>103</v>
      </c>
      <c r="C453" s="7">
        <v>2019</v>
      </c>
      <c r="D453" s="8">
        <v>34</v>
      </c>
      <c r="E453" s="9">
        <v>1.173</v>
      </c>
      <c r="F453" s="9">
        <v>26.949000000000002</v>
      </c>
      <c r="G453" s="17">
        <v>0</v>
      </c>
      <c r="H453" s="9">
        <v>0.66669999999999996</v>
      </c>
      <c r="I453" s="9">
        <v>6.0000000000000001E-3</v>
      </c>
      <c r="J453" s="9">
        <v>0.751</v>
      </c>
      <c r="K453" s="9">
        <v>1.2999999999999999E-2</v>
      </c>
      <c r="L453" s="9">
        <v>0.36199999999999999</v>
      </c>
      <c r="M453" s="11">
        <v>0.77180000000000004</v>
      </c>
      <c r="N453" s="11">
        <v>11.194459999999999</v>
      </c>
      <c r="O453" s="11">
        <v>0.91066999999999998</v>
      </c>
      <c r="P453" s="11">
        <v>12.87693</v>
      </c>
      <c r="Q453" s="7"/>
    </row>
    <row r="454" spans="1:17" ht="12.75" customHeight="1" x14ac:dyDescent="0.35">
      <c r="A454" s="6" t="s">
        <v>102</v>
      </c>
      <c r="B454" s="6" t="s">
        <v>103</v>
      </c>
      <c r="C454" s="7">
        <v>2020</v>
      </c>
      <c r="D454" s="8">
        <v>35</v>
      </c>
      <c r="E454" s="9">
        <v>1.1240000000000001</v>
      </c>
      <c r="F454" s="9">
        <v>26.943999999999999</v>
      </c>
      <c r="G454" s="17">
        <v>0</v>
      </c>
      <c r="H454" s="9">
        <v>0.66669999999999996</v>
      </c>
      <c r="I454" s="9">
        <v>0</v>
      </c>
      <c r="J454" s="9">
        <v>0.70399999999999996</v>
      </c>
      <c r="K454" s="9">
        <v>0</v>
      </c>
      <c r="L454" s="9">
        <v>0.34599999999999997</v>
      </c>
      <c r="M454" s="11">
        <v>0.75697000000000003</v>
      </c>
      <c r="N454" s="11">
        <v>11.38447</v>
      </c>
      <c r="O454" s="11">
        <v>0.91215999999999997</v>
      </c>
      <c r="P454" s="11">
        <v>13.053610000000001</v>
      </c>
      <c r="Q454" s="7"/>
    </row>
    <row r="455" spans="1:17" ht="12.75" customHeight="1" x14ac:dyDescent="0.35">
      <c r="A455" s="6" t="s">
        <v>102</v>
      </c>
      <c r="B455" s="6" t="s">
        <v>103</v>
      </c>
      <c r="C455" s="7">
        <v>2021</v>
      </c>
      <c r="D455" s="8">
        <v>36</v>
      </c>
      <c r="E455" s="9">
        <v>1.1910000000000001</v>
      </c>
      <c r="F455" s="9">
        <v>26.99</v>
      </c>
      <c r="G455" s="17">
        <v>0</v>
      </c>
      <c r="H455" s="9">
        <v>0.66669999999999996</v>
      </c>
      <c r="I455" s="9">
        <v>3.0000000000000001E-3</v>
      </c>
      <c r="J455" s="9">
        <v>0.93600000000000005</v>
      </c>
      <c r="K455" s="9">
        <v>7.0000000000000001E-3</v>
      </c>
      <c r="L455" s="9">
        <v>0.34200000000000003</v>
      </c>
      <c r="M455" s="11">
        <v>0.65742</v>
      </c>
      <c r="N455" s="11">
        <v>10.92478</v>
      </c>
      <c r="O455" s="11">
        <v>0.90846000000000005</v>
      </c>
      <c r="P455" s="11">
        <v>12.49066</v>
      </c>
      <c r="Q455" s="7"/>
    </row>
    <row r="456" spans="1:17" ht="12.75" customHeight="1" x14ac:dyDescent="0.35">
      <c r="A456" s="6" t="s">
        <v>102</v>
      </c>
      <c r="B456" s="6" t="s">
        <v>103</v>
      </c>
      <c r="C456" s="7">
        <v>2022</v>
      </c>
      <c r="D456" s="8">
        <v>37</v>
      </c>
      <c r="E456" s="9">
        <v>1.1319999999999999</v>
      </c>
      <c r="F456" s="9">
        <v>27.202000000000002</v>
      </c>
      <c r="G456" s="17">
        <v>0</v>
      </c>
      <c r="H456" s="9">
        <v>0.66669999999999996</v>
      </c>
      <c r="I456" s="9">
        <v>1.2999999999999999E-2</v>
      </c>
      <c r="J456" s="9">
        <v>0.93700000000000006</v>
      </c>
      <c r="K456" s="9">
        <v>2.7E-2</v>
      </c>
      <c r="L456" s="9">
        <v>0.44</v>
      </c>
      <c r="M456" s="11">
        <v>0.83355000000000001</v>
      </c>
      <c r="N456" s="11">
        <v>11.06213</v>
      </c>
      <c r="O456" s="11">
        <v>0.90959999999999996</v>
      </c>
      <c r="P456" s="11">
        <v>12.80528</v>
      </c>
      <c r="Q456" s="7"/>
    </row>
    <row r="457" spans="1:17" ht="12.75" customHeight="1" x14ac:dyDescent="0.35">
      <c r="A457" s="6" t="s">
        <v>104</v>
      </c>
      <c r="B457" s="6" t="s">
        <v>105</v>
      </c>
      <c r="C457" s="7">
        <v>2012</v>
      </c>
      <c r="D457" s="8">
        <f t="shared" ref="D457:D462" si="78">D458-1</f>
        <v>111</v>
      </c>
      <c r="E457" s="9">
        <v>1.82846</v>
      </c>
      <c r="F457" s="9">
        <v>29.234300000000001</v>
      </c>
      <c r="G457" s="10">
        <v>1</v>
      </c>
      <c r="H457" s="9">
        <f t="shared" ref="H457:H460" si="79">H458</f>
        <v>0.66666666666666663</v>
      </c>
      <c r="I457" s="9">
        <v>9.2700000000000005E-2</v>
      </c>
      <c r="J457" s="9">
        <v>0.90727000000000002</v>
      </c>
      <c r="K457" s="9">
        <v>0.26229999999999998</v>
      </c>
      <c r="L457" s="9">
        <v>0.72770000000000001</v>
      </c>
      <c r="M457" s="11">
        <v>1.91631</v>
      </c>
      <c r="N457" s="11">
        <v>5.5488499999999998</v>
      </c>
      <c r="O457" s="11">
        <v>0.81977999999999995</v>
      </c>
      <c r="P457" s="11">
        <v>8.2849400000000006</v>
      </c>
      <c r="Q457" s="7"/>
    </row>
    <row r="458" spans="1:17" ht="12.75" customHeight="1" x14ac:dyDescent="0.35">
      <c r="A458" s="6" t="s">
        <v>104</v>
      </c>
      <c r="B458" s="6" t="s">
        <v>105</v>
      </c>
      <c r="C458" s="7">
        <v>2013</v>
      </c>
      <c r="D458" s="8">
        <f t="shared" si="78"/>
        <v>112</v>
      </c>
      <c r="E458" s="9">
        <v>1.57745</v>
      </c>
      <c r="F458" s="9">
        <v>29.302900000000001</v>
      </c>
      <c r="G458" s="10">
        <v>1</v>
      </c>
      <c r="H458" s="9">
        <f t="shared" si="79"/>
        <v>0.66666666666666663</v>
      </c>
      <c r="I458" s="9">
        <v>3.4000000000000002E-2</v>
      </c>
      <c r="J458" s="9">
        <v>0.79867999999999995</v>
      </c>
      <c r="K458" s="9">
        <v>8.7599999999999997E-2</v>
      </c>
      <c r="L458" s="9">
        <v>0.70709999999999995</v>
      </c>
      <c r="M458" s="11">
        <v>1.75746</v>
      </c>
      <c r="N458" s="11">
        <v>5.2144599999999999</v>
      </c>
      <c r="O458" s="11">
        <v>0.80823</v>
      </c>
      <c r="P458" s="11">
        <v>7.7801400000000003</v>
      </c>
      <c r="Q458" s="7"/>
    </row>
    <row r="459" spans="1:17" ht="12.75" customHeight="1" x14ac:dyDescent="0.35">
      <c r="A459" s="6" t="s">
        <v>104</v>
      </c>
      <c r="B459" s="6" t="s">
        <v>105</v>
      </c>
      <c r="C459" s="7">
        <v>2014</v>
      </c>
      <c r="D459" s="8">
        <f t="shared" si="78"/>
        <v>113</v>
      </c>
      <c r="E459" s="9">
        <v>1.4330099999999999</v>
      </c>
      <c r="F459" s="9">
        <v>29.3459</v>
      </c>
      <c r="G459" s="10">
        <v>1</v>
      </c>
      <c r="H459" s="9">
        <f t="shared" si="79"/>
        <v>0.66666666666666663</v>
      </c>
      <c r="I459" s="9">
        <v>5.0000000000000001E-3</v>
      </c>
      <c r="J459" s="9">
        <v>0.74946999999999997</v>
      </c>
      <c r="K459" s="9">
        <v>1.23E-2</v>
      </c>
      <c r="L459" s="9">
        <v>0.74390000000000001</v>
      </c>
      <c r="M459" s="11">
        <v>1.87547</v>
      </c>
      <c r="N459" s="11">
        <v>6.0116199999999997</v>
      </c>
      <c r="O459" s="11">
        <v>0.83365999999999996</v>
      </c>
      <c r="P459" s="11">
        <v>8.7207399999999993</v>
      </c>
      <c r="Q459" s="7"/>
    </row>
    <row r="460" spans="1:17" ht="12.75" customHeight="1" x14ac:dyDescent="0.35">
      <c r="A460" s="6" t="s">
        <v>104</v>
      </c>
      <c r="B460" s="6" t="s">
        <v>105</v>
      </c>
      <c r="C460" s="7">
        <v>2015</v>
      </c>
      <c r="D460" s="8">
        <f t="shared" si="78"/>
        <v>114</v>
      </c>
      <c r="E460" s="9">
        <v>1.3859900000000001</v>
      </c>
      <c r="F460" s="9">
        <v>29.370899999999999</v>
      </c>
      <c r="G460" s="10">
        <v>1</v>
      </c>
      <c r="H460" s="9">
        <f t="shared" si="79"/>
        <v>0.66666666666666663</v>
      </c>
      <c r="I460" s="9">
        <v>-2.9899999999999999E-2</v>
      </c>
      <c r="J460" s="9">
        <v>0.63082000000000005</v>
      </c>
      <c r="K460" s="9">
        <v>-7.1300000000000002E-2</v>
      </c>
      <c r="L460" s="9">
        <v>0.48620000000000002</v>
      </c>
      <c r="M460" s="11">
        <v>1.3237699999999999</v>
      </c>
      <c r="N460" s="11">
        <v>5.1079400000000001</v>
      </c>
      <c r="O460" s="11">
        <v>0.80423</v>
      </c>
      <c r="P460" s="11">
        <v>7.2359299999999998</v>
      </c>
      <c r="Q460" s="7"/>
    </row>
    <row r="461" spans="1:17" ht="12.75" customHeight="1" x14ac:dyDescent="0.35">
      <c r="A461" s="6" t="s">
        <v>104</v>
      </c>
      <c r="B461" s="6" t="s">
        <v>105</v>
      </c>
      <c r="C461" s="7">
        <v>2016</v>
      </c>
      <c r="D461" s="8">
        <f t="shared" si="78"/>
        <v>115</v>
      </c>
      <c r="E461" s="9">
        <v>1.3081700000000001</v>
      </c>
      <c r="F461" s="9">
        <v>29.2865</v>
      </c>
      <c r="G461" s="10">
        <v>1</v>
      </c>
      <c r="H461" s="9">
        <v>0.66666666666666663</v>
      </c>
      <c r="I461" s="9">
        <v>-2.0199999999999999E-2</v>
      </c>
      <c r="J461" s="9">
        <v>0.70411000000000001</v>
      </c>
      <c r="K461" s="9">
        <v>-4.6600000000000003E-2</v>
      </c>
      <c r="L461" s="9">
        <v>0.53220000000000001</v>
      </c>
      <c r="M461" s="11">
        <v>1.41479</v>
      </c>
      <c r="N461" s="11">
        <v>5.4130000000000003</v>
      </c>
      <c r="O461" s="11">
        <v>0.81525999999999998</v>
      </c>
      <c r="P461" s="11">
        <v>7.6430400000000001</v>
      </c>
      <c r="Q461" s="7"/>
    </row>
    <row r="462" spans="1:17" ht="12.75" customHeight="1" x14ac:dyDescent="0.35">
      <c r="A462" s="6" t="s">
        <v>104</v>
      </c>
      <c r="B462" s="6" t="s">
        <v>105</v>
      </c>
      <c r="C462" s="7">
        <v>2017</v>
      </c>
      <c r="D462" s="8">
        <f t="shared" si="78"/>
        <v>116</v>
      </c>
      <c r="E462" s="9">
        <v>1.40537</v>
      </c>
      <c r="F462" s="9">
        <v>29.448</v>
      </c>
      <c r="G462" s="10">
        <v>1</v>
      </c>
      <c r="H462" s="9">
        <v>0.33333333333333331</v>
      </c>
      <c r="I462" s="9">
        <v>2.5600000000000001E-2</v>
      </c>
      <c r="J462" s="9">
        <v>0.85634999999999994</v>
      </c>
      <c r="K462" s="9">
        <v>6.1600000000000002E-2</v>
      </c>
      <c r="L462" s="9">
        <v>0.69020000000000004</v>
      </c>
      <c r="M462" s="11">
        <v>2.0070800000000002</v>
      </c>
      <c r="N462" s="11">
        <v>3.8476400000000002</v>
      </c>
      <c r="O462" s="11">
        <v>0.74009999999999998</v>
      </c>
      <c r="P462" s="11">
        <v>6.59483</v>
      </c>
      <c r="Q462" s="7"/>
    </row>
    <row r="463" spans="1:17" ht="12.75" customHeight="1" x14ac:dyDescent="0.35">
      <c r="A463" s="6" t="s">
        <v>104</v>
      </c>
      <c r="B463" s="6" t="s">
        <v>105</v>
      </c>
      <c r="C463" s="7">
        <v>2018</v>
      </c>
      <c r="D463" s="8">
        <v>117</v>
      </c>
      <c r="E463" s="9">
        <v>1.907</v>
      </c>
      <c r="F463" s="9">
        <v>29.734000000000002</v>
      </c>
      <c r="G463" s="17">
        <v>1</v>
      </c>
      <c r="H463" s="9">
        <v>0.66669999999999996</v>
      </c>
      <c r="I463" s="9">
        <v>4.1000000000000002E-2</v>
      </c>
      <c r="J463" s="9">
        <v>0.88</v>
      </c>
      <c r="K463" s="9">
        <v>0.12</v>
      </c>
      <c r="L463" s="9">
        <v>0.83799999999999997</v>
      </c>
      <c r="M463" s="11">
        <v>2.73353</v>
      </c>
      <c r="N463" s="11">
        <v>4.5438900000000002</v>
      </c>
      <c r="O463" s="11">
        <v>0.77991999999999995</v>
      </c>
      <c r="P463" s="11">
        <v>8.0573399999999999</v>
      </c>
      <c r="Q463" s="7"/>
    </row>
    <row r="464" spans="1:17" ht="12.75" customHeight="1" x14ac:dyDescent="0.35">
      <c r="A464" s="6" t="s">
        <v>104</v>
      </c>
      <c r="B464" s="6" t="s">
        <v>105</v>
      </c>
      <c r="C464" s="7">
        <v>2019</v>
      </c>
      <c r="D464" s="8">
        <v>118</v>
      </c>
      <c r="E464" s="9">
        <v>1.5920000000000001</v>
      </c>
      <c r="F464" s="9">
        <v>29.667000000000002</v>
      </c>
      <c r="G464" s="17">
        <v>1</v>
      </c>
      <c r="H464" s="9">
        <v>0.66669999999999996</v>
      </c>
      <c r="I464" s="9">
        <v>5.7000000000000002E-2</v>
      </c>
      <c r="J464" s="9">
        <v>0.82599999999999996</v>
      </c>
      <c r="K464" s="9">
        <v>0.14699999999999999</v>
      </c>
      <c r="L464" s="9">
        <v>0.86499999999999999</v>
      </c>
      <c r="M464" s="11">
        <v>2.5409600000000001</v>
      </c>
      <c r="N464" s="11">
        <v>4.1971699999999998</v>
      </c>
      <c r="O464" s="11">
        <v>0.76173999999999997</v>
      </c>
      <c r="P464" s="11">
        <v>7.4998699999999996</v>
      </c>
      <c r="Q464" s="7"/>
    </row>
    <row r="465" spans="1:17" ht="12.75" customHeight="1" x14ac:dyDescent="0.35">
      <c r="A465" s="6" t="s">
        <v>104</v>
      </c>
      <c r="B465" s="6" t="s">
        <v>105</v>
      </c>
      <c r="C465" s="7">
        <v>2020</v>
      </c>
      <c r="D465" s="8">
        <v>119</v>
      </c>
      <c r="E465" s="9">
        <v>1.2889999999999999</v>
      </c>
      <c r="F465" s="9">
        <v>29.641999999999999</v>
      </c>
      <c r="G465" s="17">
        <v>1</v>
      </c>
      <c r="H465" s="9">
        <v>0.8</v>
      </c>
      <c r="I465" s="9">
        <v>6.0999999999999999E-2</v>
      </c>
      <c r="J465" s="9">
        <v>0.82399999999999995</v>
      </c>
      <c r="K465" s="9">
        <v>0.14000000000000001</v>
      </c>
      <c r="L465" s="9">
        <v>0.64300000000000002</v>
      </c>
      <c r="M465" s="11">
        <v>1.72339</v>
      </c>
      <c r="N465" s="11">
        <v>3.5741299999999998</v>
      </c>
      <c r="O465" s="11">
        <v>0.72021000000000002</v>
      </c>
      <c r="P465" s="11">
        <v>6.0177300000000002</v>
      </c>
      <c r="Q465" s="7"/>
    </row>
    <row r="466" spans="1:17" ht="12.75" customHeight="1" x14ac:dyDescent="0.35">
      <c r="A466" s="6" t="s">
        <v>104</v>
      </c>
      <c r="B466" s="6" t="s">
        <v>105</v>
      </c>
      <c r="C466" s="7">
        <v>2021</v>
      </c>
      <c r="D466" s="8">
        <v>120</v>
      </c>
      <c r="E466" s="9">
        <v>1.0469999999999999</v>
      </c>
      <c r="F466" s="9">
        <v>29.658999999999999</v>
      </c>
      <c r="G466" s="17">
        <v>1</v>
      </c>
      <c r="H466" s="9">
        <v>0.8</v>
      </c>
      <c r="I466" s="9">
        <v>6.4000000000000001E-2</v>
      </c>
      <c r="J466" s="9">
        <v>0.79900000000000004</v>
      </c>
      <c r="K466" s="9">
        <v>0.13</v>
      </c>
      <c r="L466" s="9">
        <v>0.78</v>
      </c>
      <c r="M466" s="11">
        <v>1.8580399999999999</v>
      </c>
      <c r="N466" s="11">
        <v>4.1528099999999997</v>
      </c>
      <c r="O466" s="11">
        <v>0.75919999999999999</v>
      </c>
      <c r="P466" s="11">
        <v>6.7700500000000003</v>
      </c>
      <c r="Q466" s="7"/>
    </row>
    <row r="467" spans="1:17" ht="12.75" customHeight="1" x14ac:dyDescent="0.35">
      <c r="A467" s="6" t="s">
        <v>104</v>
      </c>
      <c r="B467" s="6" t="s">
        <v>105</v>
      </c>
      <c r="C467" s="7">
        <v>2022</v>
      </c>
      <c r="D467" s="8">
        <v>121</v>
      </c>
      <c r="E467" s="9">
        <v>1.0009999999999999</v>
      </c>
      <c r="F467" s="9">
        <v>29.87</v>
      </c>
      <c r="G467" s="17">
        <v>1</v>
      </c>
      <c r="H467" s="9">
        <v>0.83330000000000004</v>
      </c>
      <c r="I467" s="9">
        <v>6.9000000000000006E-2</v>
      </c>
      <c r="J467" s="9">
        <v>0.96599999999999997</v>
      </c>
      <c r="K467" s="9">
        <v>0.13800000000000001</v>
      </c>
      <c r="L467" s="9">
        <v>0.79900000000000004</v>
      </c>
      <c r="M467" s="11">
        <v>1.78596</v>
      </c>
      <c r="N467" s="11">
        <v>4.34741</v>
      </c>
      <c r="O467" s="11">
        <v>0.76998</v>
      </c>
      <c r="P467" s="11">
        <v>6.9033499999999997</v>
      </c>
      <c r="Q467" s="7"/>
    </row>
    <row r="468" spans="1:17" ht="12.75" customHeight="1" x14ac:dyDescent="0.35">
      <c r="A468" s="6" t="s">
        <v>106</v>
      </c>
      <c r="B468" s="6" t="s">
        <v>107</v>
      </c>
      <c r="C468" s="7">
        <v>2012</v>
      </c>
      <c r="D468" s="8">
        <f t="shared" ref="D468:D472" si="80">D469-1</f>
        <v>20</v>
      </c>
      <c r="E468" s="9">
        <v>1.2858400000000001</v>
      </c>
      <c r="F468" s="9">
        <v>27.877700000000001</v>
      </c>
      <c r="G468" s="10">
        <v>0</v>
      </c>
      <c r="H468" s="9">
        <f t="shared" ref="H468:H470" si="81">H469</f>
        <v>0.66666666666666663</v>
      </c>
      <c r="I468" s="9">
        <v>3.8399999999999997E-2</v>
      </c>
      <c r="J468" s="9">
        <v>0.99578</v>
      </c>
      <c r="K468" s="9">
        <v>8.7800000000000003E-2</v>
      </c>
      <c r="L468" s="9">
        <v>0.8508</v>
      </c>
      <c r="M468" s="11">
        <v>1.6702300000000001</v>
      </c>
      <c r="N468" s="11">
        <v>17.529630000000001</v>
      </c>
      <c r="O468" s="11">
        <v>0.94294999999999995</v>
      </c>
      <c r="P468" s="11">
        <v>20.142810000000001</v>
      </c>
      <c r="Q468" s="7"/>
    </row>
    <row r="469" spans="1:17" ht="12.75" customHeight="1" x14ac:dyDescent="0.35">
      <c r="A469" s="6" t="s">
        <v>106</v>
      </c>
      <c r="B469" s="6" t="s">
        <v>107</v>
      </c>
      <c r="C469" s="7">
        <v>2014</v>
      </c>
      <c r="D469" s="8">
        <f t="shared" si="80"/>
        <v>21</v>
      </c>
      <c r="E469" s="9">
        <v>1.0735699999999999</v>
      </c>
      <c r="F469" s="9">
        <v>28.075299999999999</v>
      </c>
      <c r="G469" s="10">
        <v>0</v>
      </c>
      <c r="H469" s="9">
        <f t="shared" si="81"/>
        <v>0.66666666666666663</v>
      </c>
      <c r="I469" s="9">
        <v>5.8299999999999998E-2</v>
      </c>
      <c r="J469" s="9">
        <v>1.3622099999999999</v>
      </c>
      <c r="K469" s="9">
        <v>0.12089999999999999</v>
      </c>
      <c r="L469" s="9">
        <v>1.5014000000000001</v>
      </c>
      <c r="M469" s="11">
        <v>2.9133</v>
      </c>
      <c r="N469" s="11">
        <v>25.46245</v>
      </c>
      <c r="O469" s="11">
        <v>0.96072999999999997</v>
      </c>
      <c r="P469" s="11">
        <v>29.336480000000002</v>
      </c>
      <c r="Q469" s="7"/>
    </row>
    <row r="470" spans="1:17" ht="12.75" customHeight="1" x14ac:dyDescent="0.35">
      <c r="A470" s="6" t="s">
        <v>106</v>
      </c>
      <c r="B470" s="6" t="s">
        <v>107</v>
      </c>
      <c r="C470" s="7">
        <v>2015</v>
      </c>
      <c r="D470" s="8">
        <f t="shared" si="80"/>
        <v>22</v>
      </c>
      <c r="E470" s="9">
        <v>0.80262999999999995</v>
      </c>
      <c r="F470" s="9">
        <v>28.337599999999998</v>
      </c>
      <c r="G470" s="10">
        <v>0</v>
      </c>
      <c r="H470" s="9">
        <f t="shared" si="81"/>
        <v>0.66666666666666663</v>
      </c>
      <c r="I470" s="9">
        <v>5.1999999999999998E-2</v>
      </c>
      <c r="J470" s="9">
        <v>0.82337000000000005</v>
      </c>
      <c r="K470" s="9">
        <v>9.3700000000000006E-2</v>
      </c>
      <c r="L470" s="9">
        <v>1.2787999999999999</v>
      </c>
      <c r="M470" s="11">
        <v>2.1523300000000001</v>
      </c>
      <c r="N470" s="11">
        <v>23.444410000000001</v>
      </c>
      <c r="O470" s="11">
        <v>0.95735000000000003</v>
      </c>
      <c r="P470" s="11">
        <v>26.554089999999999</v>
      </c>
      <c r="Q470" s="7"/>
    </row>
    <row r="471" spans="1:17" ht="12.75" customHeight="1" x14ac:dyDescent="0.35">
      <c r="A471" s="6" t="s">
        <v>106</v>
      </c>
      <c r="B471" s="6" t="s">
        <v>107</v>
      </c>
      <c r="C471" s="7">
        <v>2016</v>
      </c>
      <c r="D471" s="8">
        <f t="shared" si="80"/>
        <v>23</v>
      </c>
      <c r="E471" s="9">
        <v>0.58730000000000004</v>
      </c>
      <c r="F471" s="9">
        <v>28.289899999999999</v>
      </c>
      <c r="G471" s="10">
        <v>0</v>
      </c>
      <c r="H471" s="9">
        <v>0.66666666666666663</v>
      </c>
      <c r="I471" s="9">
        <v>4.48E-2</v>
      </c>
      <c r="J471" s="9">
        <v>0.78349999999999997</v>
      </c>
      <c r="K471" s="9">
        <v>7.1099999999999997E-2</v>
      </c>
      <c r="L471" s="9">
        <v>1.2870999999999999</v>
      </c>
      <c r="M471" s="11">
        <v>1.92161</v>
      </c>
      <c r="N471" s="11">
        <v>28.54522</v>
      </c>
      <c r="O471" s="11">
        <v>0.96496999999999999</v>
      </c>
      <c r="P471" s="11">
        <v>31.431799999999999</v>
      </c>
      <c r="Q471" s="7"/>
    </row>
    <row r="472" spans="1:17" ht="12.75" customHeight="1" x14ac:dyDescent="0.35">
      <c r="A472" s="6" t="s">
        <v>106</v>
      </c>
      <c r="B472" s="6" t="s">
        <v>107</v>
      </c>
      <c r="C472" s="7">
        <v>2017</v>
      </c>
      <c r="D472" s="8">
        <f t="shared" si="80"/>
        <v>24</v>
      </c>
      <c r="E472" s="9">
        <v>0.25176999999999999</v>
      </c>
      <c r="F472" s="9">
        <v>28.343499999999999</v>
      </c>
      <c r="G472" s="10">
        <v>0</v>
      </c>
      <c r="H472" s="9">
        <v>0.66666666666666663</v>
      </c>
      <c r="I472" s="9">
        <v>7.7499999999999999E-2</v>
      </c>
      <c r="J472" s="9">
        <v>0.80101</v>
      </c>
      <c r="K472" s="9">
        <v>9.7000000000000003E-2</v>
      </c>
      <c r="L472" s="9">
        <v>0.98929999999999996</v>
      </c>
      <c r="M472" s="11">
        <v>1.08</v>
      </c>
      <c r="N472" s="11">
        <v>20.55827</v>
      </c>
      <c r="O472" s="11">
        <v>0.95135999999999998</v>
      </c>
      <c r="P472" s="11">
        <v>22.58962</v>
      </c>
      <c r="Q472" s="7"/>
    </row>
    <row r="473" spans="1:17" ht="12.75" customHeight="1" x14ac:dyDescent="0.35">
      <c r="A473" s="6" t="s">
        <v>106</v>
      </c>
      <c r="B473" s="6" t="s">
        <v>107</v>
      </c>
      <c r="C473" s="7">
        <v>2018</v>
      </c>
      <c r="D473" s="8">
        <v>25</v>
      </c>
      <c r="E473" s="9">
        <v>0.45</v>
      </c>
      <c r="F473" s="9">
        <v>28.667000000000002</v>
      </c>
      <c r="G473" s="17">
        <v>0</v>
      </c>
      <c r="H473" s="9">
        <v>0.66669999999999996</v>
      </c>
      <c r="I473" s="9">
        <v>0.06</v>
      </c>
      <c r="J473" s="9">
        <v>0.80600000000000005</v>
      </c>
      <c r="K473" s="9">
        <v>8.6999999999999994E-2</v>
      </c>
      <c r="L473" s="9">
        <v>0.61799999999999999</v>
      </c>
      <c r="M473" s="11">
        <v>0.74985000000000002</v>
      </c>
      <c r="N473" s="11">
        <v>14.32657</v>
      </c>
      <c r="O473" s="11">
        <v>0.93020000000000003</v>
      </c>
      <c r="P473" s="11">
        <v>16.006609999999998</v>
      </c>
      <c r="Q473" s="7"/>
    </row>
    <row r="474" spans="1:17" ht="12.75" customHeight="1" x14ac:dyDescent="0.35">
      <c r="A474" s="6" t="s">
        <v>106</v>
      </c>
      <c r="B474" s="6" t="s">
        <v>107</v>
      </c>
      <c r="C474" s="7">
        <v>2019</v>
      </c>
      <c r="D474" s="8">
        <v>26</v>
      </c>
      <c r="E474" s="9">
        <v>0.47099999999999997</v>
      </c>
      <c r="F474" s="9">
        <v>28.550999999999998</v>
      </c>
      <c r="G474" s="17">
        <v>0</v>
      </c>
      <c r="H474" s="9">
        <v>0.66669999999999996</v>
      </c>
      <c r="I474" s="9">
        <v>3.5000000000000003E-2</v>
      </c>
      <c r="J474" s="9">
        <v>0.63900000000000001</v>
      </c>
      <c r="K474" s="9">
        <v>5.1999999999999998E-2</v>
      </c>
      <c r="L474" s="9">
        <v>0.67700000000000005</v>
      </c>
      <c r="M474" s="11">
        <v>0.96938999999999997</v>
      </c>
      <c r="N474" s="11">
        <v>19.163029999999999</v>
      </c>
      <c r="O474" s="11">
        <v>0.94782</v>
      </c>
      <c r="P474" s="11">
        <v>21.08023</v>
      </c>
      <c r="Q474" s="7"/>
    </row>
    <row r="475" spans="1:17" ht="12.75" customHeight="1" x14ac:dyDescent="0.35">
      <c r="A475" s="6" t="s">
        <v>106</v>
      </c>
      <c r="B475" s="6" t="s">
        <v>107</v>
      </c>
      <c r="C475" s="7">
        <v>2020</v>
      </c>
      <c r="D475" s="8">
        <v>27</v>
      </c>
      <c r="E475" s="9">
        <v>0.35199999999999998</v>
      </c>
      <c r="F475" s="9">
        <v>28.486000000000001</v>
      </c>
      <c r="G475" s="17">
        <v>0</v>
      </c>
      <c r="H475" s="9">
        <v>0.66669999999999996</v>
      </c>
      <c r="I475" s="9">
        <v>1.4999999999999999E-2</v>
      </c>
      <c r="J475" s="9">
        <v>0.71399999999999997</v>
      </c>
      <c r="K475" s="9">
        <v>0.02</v>
      </c>
      <c r="L475" s="9">
        <v>0.59299999999999997</v>
      </c>
      <c r="M475" s="11">
        <v>0.77819000000000005</v>
      </c>
      <c r="N475" s="11">
        <v>18.213010000000001</v>
      </c>
      <c r="O475" s="11">
        <v>0.94508999999999999</v>
      </c>
      <c r="P475" s="11">
        <v>19.93629</v>
      </c>
      <c r="Q475" s="7"/>
    </row>
    <row r="476" spans="1:17" ht="12.75" customHeight="1" x14ac:dyDescent="0.35">
      <c r="A476" s="6" t="s">
        <v>106</v>
      </c>
      <c r="B476" s="6" t="s">
        <v>107</v>
      </c>
      <c r="C476" s="7">
        <v>2021</v>
      </c>
      <c r="D476" s="8">
        <v>28</v>
      </c>
      <c r="E476" s="9">
        <v>0.96299999999999997</v>
      </c>
      <c r="F476" s="9">
        <v>21.977</v>
      </c>
      <c r="G476" s="17">
        <v>0</v>
      </c>
      <c r="H476" s="9">
        <v>1</v>
      </c>
      <c r="I476" s="9">
        <v>1.4E-2</v>
      </c>
      <c r="J476" s="9">
        <v>220.03100000000001</v>
      </c>
      <c r="K476" s="9">
        <v>2.7E-2</v>
      </c>
      <c r="L476" s="9">
        <v>0</v>
      </c>
      <c r="M476" s="11">
        <v>3.8695400000000002</v>
      </c>
      <c r="N476" s="11">
        <v>6.2050000000000001E-2</v>
      </c>
      <c r="O476" s="11">
        <v>-15.11496</v>
      </c>
      <c r="P476" s="11">
        <v>-11.18337</v>
      </c>
      <c r="Q476" s="7"/>
    </row>
    <row r="477" spans="1:17" ht="12.75" customHeight="1" x14ac:dyDescent="0.35">
      <c r="A477" s="6" t="s">
        <v>106</v>
      </c>
      <c r="B477" s="6" t="s">
        <v>107</v>
      </c>
      <c r="C477" s="7">
        <v>2022</v>
      </c>
      <c r="D477" s="8">
        <v>29</v>
      </c>
      <c r="E477" s="9">
        <v>0.95799999999999996</v>
      </c>
      <c r="F477" s="9">
        <v>22.134</v>
      </c>
      <c r="G477" s="17">
        <v>0</v>
      </c>
      <c r="H477" s="9">
        <v>0.66669999999999996</v>
      </c>
      <c r="I477" s="9">
        <v>4.2000000000000003E-2</v>
      </c>
      <c r="J477" s="16">
        <v>1078.4059999999999</v>
      </c>
      <c r="K477" s="9">
        <v>8.1000000000000003E-2</v>
      </c>
      <c r="L477" s="9">
        <v>0</v>
      </c>
      <c r="M477" s="11">
        <v>-52.543590000000002</v>
      </c>
      <c r="N477" s="11">
        <v>-0.69399</v>
      </c>
      <c r="O477" s="11">
        <v>2.44095</v>
      </c>
      <c r="P477" s="11">
        <v>-50.79663</v>
      </c>
      <c r="Q477" s="7"/>
    </row>
    <row r="478" spans="1:17" ht="12.75" customHeight="1" x14ac:dyDescent="0.35">
      <c r="A478" s="6" t="s">
        <v>108</v>
      </c>
      <c r="B478" s="6" t="s">
        <v>109</v>
      </c>
      <c r="C478" s="7">
        <v>2012</v>
      </c>
      <c r="D478" s="8">
        <f t="shared" ref="D478:D483" si="82">D479-1</f>
        <v>38</v>
      </c>
      <c r="E478" s="9">
        <v>0.67466000000000004</v>
      </c>
      <c r="F478" s="9">
        <v>28.083300000000001</v>
      </c>
      <c r="G478" s="10">
        <v>1</v>
      </c>
      <c r="H478" s="9">
        <f t="shared" ref="H478:H481" si="83">H479</f>
        <v>0.66666666666666663</v>
      </c>
      <c r="I478" s="9">
        <v>3.61E-2</v>
      </c>
      <c r="J478" s="9">
        <v>0.57454000000000005</v>
      </c>
      <c r="K478" s="9">
        <v>6.0499999999999998E-2</v>
      </c>
      <c r="L478" s="9">
        <v>0.53659999999999997</v>
      </c>
      <c r="M478" s="11">
        <v>0.81381000000000003</v>
      </c>
      <c r="N478" s="11">
        <v>19.559930000000001</v>
      </c>
      <c r="O478" s="11">
        <v>0.94887999999999995</v>
      </c>
      <c r="P478" s="11">
        <v>21.322610000000001</v>
      </c>
      <c r="Q478" s="7"/>
    </row>
    <row r="479" spans="1:17" ht="12.75" customHeight="1" x14ac:dyDescent="0.35">
      <c r="A479" s="6" t="s">
        <v>108</v>
      </c>
      <c r="B479" s="6" t="s">
        <v>109</v>
      </c>
      <c r="C479" s="7">
        <v>2013</v>
      </c>
      <c r="D479" s="8">
        <f t="shared" si="82"/>
        <v>39</v>
      </c>
      <c r="E479" s="9">
        <v>0.55110000000000003</v>
      </c>
      <c r="F479" s="9">
        <v>28.0412</v>
      </c>
      <c r="G479" s="10">
        <v>1</v>
      </c>
      <c r="H479" s="9">
        <f t="shared" si="83"/>
        <v>0.66666666666666663</v>
      </c>
      <c r="I479" s="9">
        <v>-4.7199999999999999E-2</v>
      </c>
      <c r="J479" s="9">
        <v>0.43814999999999998</v>
      </c>
      <c r="K479" s="9">
        <v>-7.3200000000000001E-2</v>
      </c>
      <c r="L479" s="9">
        <v>0.44030000000000002</v>
      </c>
      <c r="M479" s="11">
        <v>0.71199999999999997</v>
      </c>
      <c r="N479" s="11">
        <v>15.37584</v>
      </c>
      <c r="O479" s="11">
        <v>0.93496000000000001</v>
      </c>
      <c r="P479" s="11">
        <v>17.0228</v>
      </c>
      <c r="Q479" s="7"/>
    </row>
    <row r="480" spans="1:17" ht="12.75" customHeight="1" x14ac:dyDescent="0.35">
      <c r="A480" s="6" t="s">
        <v>108</v>
      </c>
      <c r="B480" s="6" t="s">
        <v>109</v>
      </c>
      <c r="C480" s="7">
        <v>2014</v>
      </c>
      <c r="D480" s="8">
        <f t="shared" si="82"/>
        <v>40</v>
      </c>
      <c r="E480" s="9">
        <v>0.4708</v>
      </c>
      <c r="F480" s="9">
        <v>28.092199999999998</v>
      </c>
      <c r="G480" s="10">
        <v>1</v>
      </c>
      <c r="H480" s="9">
        <f t="shared" si="83"/>
        <v>0.66666666666666663</v>
      </c>
      <c r="I480" s="9">
        <v>-1.5900000000000001E-2</v>
      </c>
      <c r="J480" s="9">
        <v>0.39690999999999999</v>
      </c>
      <c r="K480" s="9">
        <v>-2.3400000000000001E-2</v>
      </c>
      <c r="L480" s="9">
        <v>0.31990000000000002</v>
      </c>
      <c r="M480" s="11">
        <v>0.46579999999999999</v>
      </c>
      <c r="N480" s="11">
        <v>17.265820000000001</v>
      </c>
      <c r="O480" s="11">
        <v>0.94208000000000003</v>
      </c>
      <c r="P480" s="11">
        <v>18.6737</v>
      </c>
      <c r="Q480" s="7"/>
    </row>
    <row r="481" spans="1:17" ht="12.75" customHeight="1" x14ac:dyDescent="0.35">
      <c r="A481" s="6" t="s">
        <v>108</v>
      </c>
      <c r="B481" s="6" t="s">
        <v>109</v>
      </c>
      <c r="C481" s="7">
        <v>2015</v>
      </c>
      <c r="D481" s="8">
        <f t="shared" si="82"/>
        <v>41</v>
      </c>
      <c r="E481" s="9">
        <v>0.50980000000000003</v>
      </c>
      <c r="F481" s="9">
        <v>28.0946</v>
      </c>
      <c r="G481" s="10">
        <v>1</v>
      </c>
      <c r="H481" s="9">
        <f t="shared" si="83"/>
        <v>0.66666666666666663</v>
      </c>
      <c r="I481" s="9">
        <v>-0.1026</v>
      </c>
      <c r="J481" s="9">
        <v>0.39628000000000002</v>
      </c>
      <c r="K481" s="9">
        <v>-0.15479999999999999</v>
      </c>
      <c r="L481" s="9">
        <v>0.24940000000000001</v>
      </c>
      <c r="M481" s="11">
        <v>0.50863000000000003</v>
      </c>
      <c r="N481" s="11">
        <v>21.758980000000001</v>
      </c>
      <c r="O481" s="11">
        <v>0.95404</v>
      </c>
      <c r="P481" s="11">
        <v>23.22165</v>
      </c>
      <c r="Q481" s="7"/>
    </row>
    <row r="482" spans="1:17" ht="12.75" customHeight="1" x14ac:dyDescent="0.35">
      <c r="A482" s="6" t="s">
        <v>108</v>
      </c>
      <c r="B482" s="6" t="s">
        <v>109</v>
      </c>
      <c r="C482" s="7">
        <v>2016</v>
      </c>
      <c r="D482" s="8">
        <f t="shared" si="82"/>
        <v>42</v>
      </c>
      <c r="E482" s="9">
        <v>0.53442000000000001</v>
      </c>
      <c r="F482" s="9">
        <v>27.924499999999998</v>
      </c>
      <c r="G482" s="10">
        <v>1</v>
      </c>
      <c r="H482" s="9">
        <v>0.66666666666666663</v>
      </c>
      <c r="I482" s="9">
        <v>-0.1295</v>
      </c>
      <c r="J482" s="9">
        <v>0.43867</v>
      </c>
      <c r="K482" s="9">
        <v>-0.19869999999999999</v>
      </c>
      <c r="L482" s="9">
        <v>0.21179999999999999</v>
      </c>
      <c r="M482" s="11">
        <v>0.46139999999999998</v>
      </c>
      <c r="N482" s="11">
        <v>16.02591</v>
      </c>
      <c r="O482" s="11">
        <v>0.93759999999999999</v>
      </c>
      <c r="P482" s="11">
        <v>17.42492</v>
      </c>
      <c r="Q482" s="7"/>
    </row>
    <row r="483" spans="1:17" ht="12.75" customHeight="1" x14ac:dyDescent="0.35">
      <c r="A483" s="6" t="s">
        <v>108</v>
      </c>
      <c r="B483" s="6" t="s">
        <v>109</v>
      </c>
      <c r="C483" s="7">
        <v>2017</v>
      </c>
      <c r="D483" s="8">
        <f t="shared" si="82"/>
        <v>43</v>
      </c>
      <c r="E483" s="9">
        <v>0.54986000000000002</v>
      </c>
      <c r="F483" s="9">
        <v>27.712800000000001</v>
      </c>
      <c r="G483" s="10">
        <v>1</v>
      </c>
      <c r="H483" s="9">
        <f>H484</f>
        <v>0.66669999999999996</v>
      </c>
      <c r="I483" s="9">
        <v>-0.17580000000000001</v>
      </c>
      <c r="J483" s="9">
        <v>0.49397999999999997</v>
      </c>
      <c r="K483" s="9">
        <v>-0.27239999999999998</v>
      </c>
      <c r="L483" s="9">
        <v>0.29210000000000003</v>
      </c>
      <c r="M483" s="11">
        <v>0.55823999999999996</v>
      </c>
      <c r="N483" s="11">
        <v>19.64057</v>
      </c>
      <c r="O483" s="11">
        <v>0.94908000000000003</v>
      </c>
      <c r="P483" s="11">
        <v>21.1479</v>
      </c>
      <c r="Q483" s="7"/>
    </row>
    <row r="484" spans="1:17" ht="12.75" customHeight="1" x14ac:dyDescent="0.35">
      <c r="A484" s="6" t="s">
        <v>108</v>
      </c>
      <c r="B484" s="6" t="s">
        <v>109</v>
      </c>
      <c r="C484" s="7">
        <v>2018</v>
      </c>
      <c r="D484" s="8">
        <v>44</v>
      </c>
      <c r="E484" s="9">
        <v>0.46500000000000002</v>
      </c>
      <c r="F484" s="9">
        <v>27.562999999999999</v>
      </c>
      <c r="G484" s="17">
        <v>1</v>
      </c>
      <c r="H484" s="9">
        <v>0.66669999999999996</v>
      </c>
      <c r="I484" s="9">
        <v>-0.13500000000000001</v>
      </c>
      <c r="J484" s="9">
        <v>0.52300000000000002</v>
      </c>
      <c r="K484" s="9">
        <v>-0.19700000000000001</v>
      </c>
      <c r="L484" s="9">
        <v>0.44600000000000001</v>
      </c>
      <c r="M484" s="11">
        <v>0.59536999999999995</v>
      </c>
      <c r="N484" s="11">
        <v>17.692309999999999</v>
      </c>
      <c r="O484" s="11">
        <v>0.94347999999999999</v>
      </c>
      <c r="P484" s="11">
        <v>19.231159999999999</v>
      </c>
      <c r="Q484" s="7"/>
    </row>
    <row r="485" spans="1:17" ht="12.75" customHeight="1" x14ac:dyDescent="0.35">
      <c r="A485" s="6" t="s">
        <v>108</v>
      </c>
      <c r="B485" s="6" t="s">
        <v>109</v>
      </c>
      <c r="C485" s="7">
        <v>2019</v>
      </c>
      <c r="D485" s="8">
        <v>45</v>
      </c>
      <c r="E485" s="9">
        <v>9.7000000000000003E-2</v>
      </c>
      <c r="F485" s="9">
        <v>27.244</v>
      </c>
      <c r="G485" s="17">
        <v>1</v>
      </c>
      <c r="H485" s="9">
        <v>0.66669999999999996</v>
      </c>
      <c r="I485" s="9">
        <v>2.5999999999999999E-2</v>
      </c>
      <c r="J485" s="9">
        <v>0.56299999999999994</v>
      </c>
      <c r="K485" s="9">
        <v>2.8000000000000001E-2</v>
      </c>
      <c r="L485" s="9">
        <v>0</v>
      </c>
      <c r="M485" s="11">
        <v>0.60053000000000001</v>
      </c>
      <c r="N485" s="11">
        <v>15.47021</v>
      </c>
      <c r="O485" s="11">
        <v>0.93535999999999997</v>
      </c>
      <c r="P485" s="11">
        <v>17.0061</v>
      </c>
      <c r="Q485" s="7"/>
    </row>
    <row r="486" spans="1:17" ht="12.75" customHeight="1" x14ac:dyDescent="0.35">
      <c r="A486" s="6" t="s">
        <v>108</v>
      </c>
      <c r="B486" s="6" t="s">
        <v>109</v>
      </c>
      <c r="C486" s="7">
        <v>2020</v>
      </c>
      <c r="D486" s="8">
        <v>46</v>
      </c>
      <c r="E486" s="9">
        <v>0.09</v>
      </c>
      <c r="F486" s="9">
        <v>27.123000000000001</v>
      </c>
      <c r="G486" s="17">
        <v>1</v>
      </c>
      <c r="H486" s="9">
        <v>0.66669999999999996</v>
      </c>
      <c r="I486" s="9">
        <v>-0.113</v>
      </c>
      <c r="J486" s="9">
        <v>0.28399999999999997</v>
      </c>
      <c r="K486" s="9">
        <v>-0.123</v>
      </c>
      <c r="L486" s="9">
        <v>0</v>
      </c>
      <c r="M486" s="11">
        <v>0.38219999999999998</v>
      </c>
      <c r="N486" s="11">
        <v>7.5370600000000003</v>
      </c>
      <c r="O486" s="11">
        <v>0.86731999999999998</v>
      </c>
      <c r="P486" s="11">
        <v>8.7865900000000003</v>
      </c>
      <c r="Q486" s="7"/>
    </row>
    <row r="487" spans="1:17" ht="12.75" customHeight="1" x14ac:dyDescent="0.35">
      <c r="A487" s="6" t="s">
        <v>108</v>
      </c>
      <c r="B487" s="6" t="s">
        <v>109</v>
      </c>
      <c r="C487" s="7">
        <v>2021</v>
      </c>
      <c r="D487" s="8">
        <v>47</v>
      </c>
      <c r="E487" s="9">
        <v>5.1999999999999998E-2</v>
      </c>
      <c r="F487" s="9">
        <v>27.198</v>
      </c>
      <c r="G487" s="17">
        <v>0</v>
      </c>
      <c r="H487" s="9">
        <v>0.66669999999999996</v>
      </c>
      <c r="I487" s="9">
        <v>5.5E-2</v>
      </c>
      <c r="J487" s="9">
        <v>0.23799999999999999</v>
      </c>
      <c r="K487" s="9">
        <v>5.8000000000000003E-2</v>
      </c>
      <c r="L487" s="9">
        <v>0.47699999999999998</v>
      </c>
      <c r="M487" s="11">
        <v>0.56523000000000001</v>
      </c>
      <c r="N487" s="11">
        <v>17.060009999999998</v>
      </c>
      <c r="O487" s="11">
        <v>0.94137999999999999</v>
      </c>
      <c r="P487" s="11">
        <v>18.56662</v>
      </c>
      <c r="Q487" s="7"/>
    </row>
    <row r="488" spans="1:17" ht="12.75" customHeight="1" x14ac:dyDescent="0.35">
      <c r="A488" s="6" t="s">
        <v>110</v>
      </c>
      <c r="B488" s="6" t="s">
        <v>111</v>
      </c>
      <c r="C488" s="7">
        <v>2021</v>
      </c>
      <c r="D488" s="8">
        <v>12</v>
      </c>
      <c r="E488" s="9">
        <v>0.745</v>
      </c>
      <c r="F488" s="9">
        <v>27.968</v>
      </c>
      <c r="G488" s="17">
        <v>0</v>
      </c>
      <c r="H488" s="9">
        <v>0.66669999999999996</v>
      </c>
      <c r="I488" s="9">
        <v>0.14099999999999999</v>
      </c>
      <c r="J488" s="9">
        <v>1.1200000000000001</v>
      </c>
      <c r="K488" s="9">
        <v>0.247</v>
      </c>
      <c r="L488" s="9">
        <v>1.331</v>
      </c>
      <c r="M488" s="11">
        <v>2.0154100000000001</v>
      </c>
      <c r="N488" s="11">
        <v>20.920500000000001</v>
      </c>
      <c r="O488" s="11">
        <v>0.95220000000000005</v>
      </c>
      <c r="P488" s="11">
        <v>23.888110000000001</v>
      </c>
      <c r="Q488" s="7"/>
    </row>
    <row r="489" spans="1:17" ht="12.75" customHeight="1" x14ac:dyDescent="0.35">
      <c r="A489" s="6" t="s">
        <v>110</v>
      </c>
      <c r="B489" s="6" t="s">
        <v>111</v>
      </c>
      <c r="C489" s="7">
        <v>2022</v>
      </c>
      <c r="D489" s="8">
        <v>13</v>
      </c>
      <c r="E489" s="9">
        <v>0.39</v>
      </c>
      <c r="F489" s="9">
        <v>28.148</v>
      </c>
      <c r="G489" s="17">
        <v>0</v>
      </c>
      <c r="H489" s="9">
        <v>0.66669999999999996</v>
      </c>
      <c r="I489" s="9">
        <v>0.24099999999999999</v>
      </c>
      <c r="J489" s="9">
        <v>2.7330000000000001</v>
      </c>
      <c r="K489" s="9">
        <v>0.33500000000000002</v>
      </c>
      <c r="L489" s="9">
        <v>1.63</v>
      </c>
      <c r="M489" s="11">
        <v>1.8671800000000001</v>
      </c>
      <c r="N489" s="11">
        <v>26.126139999999999</v>
      </c>
      <c r="O489" s="11">
        <v>0.96172000000000002</v>
      </c>
      <c r="P489" s="11">
        <v>28.95505</v>
      </c>
      <c r="Q489" s="7"/>
    </row>
    <row r="490" spans="1:17" ht="12.75" customHeight="1" x14ac:dyDescent="0.35">
      <c r="A490" s="6" t="s">
        <v>112</v>
      </c>
      <c r="B490" s="6" t="s">
        <v>113</v>
      </c>
      <c r="C490" s="7">
        <v>2012</v>
      </c>
      <c r="D490" s="8">
        <f t="shared" ref="D490:D495" si="84">D491-1</f>
        <v>28</v>
      </c>
      <c r="E490" s="9">
        <v>3.9449299999999998</v>
      </c>
      <c r="F490" s="9">
        <v>27.793600000000001</v>
      </c>
      <c r="G490" s="10">
        <v>0</v>
      </c>
      <c r="H490" s="9">
        <f t="shared" ref="H490:H493" si="85">H491</f>
        <v>0.66666666666666663</v>
      </c>
      <c r="I490" s="9">
        <v>2.46E-2</v>
      </c>
      <c r="J490" s="9">
        <v>0.92539000000000005</v>
      </c>
      <c r="K490" s="9">
        <v>0.12189999999999999</v>
      </c>
      <c r="L490" s="9">
        <v>1.3620000000000001</v>
      </c>
      <c r="M490" s="11">
        <v>10.123430000000001</v>
      </c>
      <c r="N490" s="11">
        <v>2.43946</v>
      </c>
      <c r="O490" s="11">
        <v>0.59006999999999998</v>
      </c>
      <c r="P490" s="11">
        <v>13.15296</v>
      </c>
      <c r="Q490" s="7"/>
    </row>
    <row r="491" spans="1:17" ht="12.75" customHeight="1" x14ac:dyDescent="0.35">
      <c r="A491" s="6" t="s">
        <v>112</v>
      </c>
      <c r="B491" s="6" t="s">
        <v>113</v>
      </c>
      <c r="C491" s="7">
        <v>2013</v>
      </c>
      <c r="D491" s="8">
        <f t="shared" si="84"/>
        <v>29</v>
      </c>
      <c r="E491" s="9">
        <v>3.87954</v>
      </c>
      <c r="F491" s="9">
        <v>27.876300000000001</v>
      </c>
      <c r="G491" s="10">
        <v>0</v>
      </c>
      <c r="H491" s="9">
        <f t="shared" si="85"/>
        <v>0.66666666666666663</v>
      </c>
      <c r="I491" s="9">
        <v>2.3199999999999998E-2</v>
      </c>
      <c r="J491" s="9">
        <v>0.91074999999999995</v>
      </c>
      <c r="K491" s="9">
        <v>0.11310000000000001</v>
      </c>
      <c r="L491" s="9">
        <v>1.4057999999999999</v>
      </c>
      <c r="M491" s="11">
        <v>10.260300000000001</v>
      </c>
      <c r="N491" s="11">
        <v>2.37703</v>
      </c>
      <c r="O491" s="11">
        <v>0.57930999999999999</v>
      </c>
      <c r="P491" s="11">
        <v>13.21663</v>
      </c>
      <c r="Q491" s="7"/>
    </row>
    <row r="492" spans="1:17" ht="12.75" customHeight="1" x14ac:dyDescent="0.35">
      <c r="A492" s="6" t="s">
        <v>112</v>
      </c>
      <c r="B492" s="6" t="s">
        <v>113</v>
      </c>
      <c r="C492" s="7">
        <v>2014</v>
      </c>
      <c r="D492" s="8">
        <f t="shared" si="84"/>
        <v>30</v>
      </c>
      <c r="E492" s="9">
        <v>3.1715800000000001</v>
      </c>
      <c r="F492" s="9">
        <v>27.8673</v>
      </c>
      <c r="G492" s="10">
        <v>0</v>
      </c>
      <c r="H492" s="9">
        <f t="shared" si="85"/>
        <v>0.66666666666666663</v>
      </c>
      <c r="I492" s="9">
        <v>4.4299999999999999E-2</v>
      </c>
      <c r="J492" s="9">
        <v>0.89222000000000001</v>
      </c>
      <c r="K492" s="9">
        <v>0.18459999999999999</v>
      </c>
      <c r="L492" s="9">
        <v>1.4475</v>
      </c>
      <c r="M492" s="11">
        <v>9.1187400000000007</v>
      </c>
      <c r="N492" s="11">
        <v>2.33954</v>
      </c>
      <c r="O492" s="11">
        <v>0.57257000000000002</v>
      </c>
      <c r="P492" s="11">
        <v>12.030849999999999</v>
      </c>
      <c r="Q492" s="7"/>
    </row>
    <row r="493" spans="1:17" ht="12.75" customHeight="1" x14ac:dyDescent="0.35">
      <c r="A493" s="6" t="s">
        <v>112</v>
      </c>
      <c r="B493" s="6" t="s">
        <v>113</v>
      </c>
      <c r="C493" s="7">
        <v>2015</v>
      </c>
      <c r="D493" s="8">
        <f t="shared" si="84"/>
        <v>31</v>
      </c>
      <c r="E493" s="9">
        <v>2.2261000000000002</v>
      </c>
      <c r="F493" s="9">
        <v>27.718800000000002</v>
      </c>
      <c r="G493" s="10">
        <v>0</v>
      </c>
      <c r="H493" s="9">
        <f t="shared" si="85"/>
        <v>0.66666666666666663</v>
      </c>
      <c r="I493" s="9">
        <v>3.78E-2</v>
      </c>
      <c r="J493" s="9">
        <v>0.84165999999999996</v>
      </c>
      <c r="K493" s="9">
        <v>0.122</v>
      </c>
      <c r="L493" s="9">
        <v>1.4639</v>
      </c>
      <c r="M493" s="11">
        <v>6.9846700000000004</v>
      </c>
      <c r="N493" s="11">
        <v>2.3811300000000002</v>
      </c>
      <c r="O493" s="11">
        <v>0.58003000000000005</v>
      </c>
      <c r="P493" s="11">
        <v>9.9458400000000005</v>
      </c>
      <c r="Q493" s="7"/>
    </row>
    <row r="494" spans="1:17" ht="12.75" customHeight="1" x14ac:dyDescent="0.35">
      <c r="A494" s="6" t="s">
        <v>112</v>
      </c>
      <c r="B494" s="6" t="s">
        <v>113</v>
      </c>
      <c r="C494" s="7">
        <v>2016</v>
      </c>
      <c r="D494" s="8">
        <f t="shared" si="84"/>
        <v>32</v>
      </c>
      <c r="E494" s="9">
        <v>1.72194</v>
      </c>
      <c r="F494" s="9">
        <v>27.6099</v>
      </c>
      <c r="G494" s="10">
        <v>0</v>
      </c>
      <c r="H494" s="9">
        <v>0.66666666666666663</v>
      </c>
      <c r="I494" s="9">
        <v>2.6599999999999999E-2</v>
      </c>
      <c r="J494" s="9">
        <v>0.81820999999999999</v>
      </c>
      <c r="K494" s="9">
        <v>7.2499999999999995E-2</v>
      </c>
      <c r="L494" s="9">
        <v>1.3436999999999999</v>
      </c>
      <c r="M494" s="11">
        <v>5.5639700000000003</v>
      </c>
      <c r="N494" s="11">
        <v>2.3911699999999998</v>
      </c>
      <c r="O494" s="11">
        <v>0.58179000000000003</v>
      </c>
      <c r="P494" s="11">
        <v>8.5369399999999995</v>
      </c>
      <c r="Q494" s="7"/>
    </row>
    <row r="495" spans="1:17" ht="12.75" customHeight="1" x14ac:dyDescent="0.35">
      <c r="A495" s="6" t="s">
        <v>112</v>
      </c>
      <c r="B495" s="6" t="s">
        <v>113</v>
      </c>
      <c r="C495" s="7">
        <v>2017</v>
      </c>
      <c r="D495" s="8">
        <f t="shared" si="84"/>
        <v>33</v>
      </c>
      <c r="E495" s="9">
        <v>1.52268</v>
      </c>
      <c r="F495" s="9">
        <v>27.589500000000001</v>
      </c>
      <c r="G495" s="10">
        <v>0</v>
      </c>
      <c r="H495" s="9">
        <v>0.66666666666666663</v>
      </c>
      <c r="I495" s="9">
        <v>2.18E-2</v>
      </c>
      <c r="J495" s="9">
        <v>0.78981000000000001</v>
      </c>
      <c r="K495" s="9">
        <v>5.5E-2</v>
      </c>
      <c r="L495" s="9">
        <v>1.1728000000000001</v>
      </c>
      <c r="M495" s="11">
        <v>4.4792899999999998</v>
      </c>
      <c r="N495" s="11">
        <v>2.4390299999999998</v>
      </c>
      <c r="O495" s="11">
        <v>0.59</v>
      </c>
      <c r="P495" s="11">
        <v>7.5083299999999999</v>
      </c>
      <c r="Q495" s="7"/>
    </row>
    <row r="496" spans="1:17" ht="12.75" customHeight="1" x14ac:dyDescent="0.35">
      <c r="A496" s="6" t="s">
        <v>112</v>
      </c>
      <c r="B496" s="6" t="s">
        <v>113</v>
      </c>
      <c r="C496" s="7">
        <v>2018</v>
      </c>
      <c r="D496" s="8">
        <v>34</v>
      </c>
      <c r="E496" s="9">
        <v>1.44</v>
      </c>
      <c r="F496" s="9">
        <v>27.620999999999999</v>
      </c>
      <c r="G496" s="17">
        <v>0</v>
      </c>
      <c r="H496" s="9">
        <v>0.66669999999999996</v>
      </c>
      <c r="I496" s="9">
        <v>2.7E-2</v>
      </c>
      <c r="J496" s="9">
        <v>0.79200000000000004</v>
      </c>
      <c r="K496" s="9">
        <v>6.7000000000000004E-2</v>
      </c>
      <c r="L496" s="9">
        <v>1.3109999999999999</v>
      </c>
      <c r="M496" s="11">
        <v>4.8250799999999998</v>
      </c>
      <c r="N496" s="11">
        <v>2.4893100000000001</v>
      </c>
      <c r="O496" s="11">
        <v>0.59828000000000003</v>
      </c>
      <c r="P496" s="11">
        <v>7.9126799999999999</v>
      </c>
      <c r="Q496" s="7"/>
    </row>
    <row r="497" spans="1:17" ht="12.75" customHeight="1" x14ac:dyDescent="0.35">
      <c r="A497" s="6" t="s">
        <v>112</v>
      </c>
      <c r="B497" s="6" t="s">
        <v>113</v>
      </c>
      <c r="C497" s="7">
        <v>2019</v>
      </c>
      <c r="D497" s="8">
        <v>35</v>
      </c>
      <c r="E497" s="9">
        <v>1.89</v>
      </c>
      <c r="F497" s="9">
        <v>27.855</v>
      </c>
      <c r="G497" s="17">
        <v>0</v>
      </c>
      <c r="H497" s="9">
        <v>0.66669999999999996</v>
      </c>
      <c r="I497" s="9">
        <v>2.5999999999999999E-2</v>
      </c>
      <c r="J497" s="9">
        <v>0.80700000000000005</v>
      </c>
      <c r="K497" s="9">
        <v>7.5999999999999998E-2</v>
      </c>
      <c r="L497" s="9">
        <v>1.276</v>
      </c>
      <c r="M497" s="11">
        <v>5.9342100000000002</v>
      </c>
      <c r="N497" s="11">
        <v>2.2984800000000001</v>
      </c>
      <c r="O497" s="11">
        <v>0.56493000000000004</v>
      </c>
      <c r="P497" s="11">
        <v>8.7976299999999998</v>
      </c>
      <c r="Q497" s="7"/>
    </row>
    <row r="498" spans="1:17" ht="12.75" customHeight="1" x14ac:dyDescent="0.35">
      <c r="A498" s="6" t="s">
        <v>112</v>
      </c>
      <c r="B498" s="6" t="s">
        <v>113</v>
      </c>
      <c r="C498" s="7">
        <v>2020</v>
      </c>
      <c r="D498" s="8">
        <v>36</v>
      </c>
      <c r="E498" s="9">
        <v>1.9470000000000001</v>
      </c>
      <c r="F498" s="9">
        <v>27.928000000000001</v>
      </c>
      <c r="G498" s="17">
        <v>0</v>
      </c>
      <c r="H498" s="9">
        <v>0.66669999999999996</v>
      </c>
      <c r="I498" s="9">
        <v>0.02</v>
      </c>
      <c r="J498" s="9">
        <v>0.81799999999999995</v>
      </c>
      <c r="K498" s="9">
        <v>0.06</v>
      </c>
      <c r="L498" s="9">
        <v>1.202</v>
      </c>
      <c r="M498" s="11">
        <v>5.5502399999999996</v>
      </c>
      <c r="N498" s="11">
        <v>2.35426</v>
      </c>
      <c r="O498" s="11">
        <v>0.57523999999999997</v>
      </c>
      <c r="P498" s="11">
        <v>8.4797399999999996</v>
      </c>
      <c r="Q498" s="7"/>
    </row>
    <row r="499" spans="1:17" ht="12.75" customHeight="1" x14ac:dyDescent="0.35">
      <c r="A499" s="6" t="s">
        <v>112</v>
      </c>
      <c r="B499" s="6" t="s">
        <v>113</v>
      </c>
      <c r="C499" s="7">
        <v>2021</v>
      </c>
      <c r="D499" s="8">
        <v>37</v>
      </c>
      <c r="E499" s="9">
        <v>1.679</v>
      </c>
      <c r="F499" s="9">
        <v>27.891999999999999</v>
      </c>
      <c r="G499" s="17">
        <v>0</v>
      </c>
      <c r="H499" s="9">
        <v>0.66669999999999996</v>
      </c>
      <c r="I499" s="9">
        <v>1.4E-2</v>
      </c>
      <c r="J499" s="9">
        <v>0.749</v>
      </c>
      <c r="K499" s="9">
        <v>3.7999999999999999E-2</v>
      </c>
      <c r="L499" s="9">
        <v>1.268</v>
      </c>
      <c r="M499" s="11">
        <v>5.1401300000000001</v>
      </c>
      <c r="N499" s="11">
        <v>2.5281699999999998</v>
      </c>
      <c r="O499" s="11">
        <v>0.60446</v>
      </c>
      <c r="P499" s="11">
        <v>8.2727599999999999</v>
      </c>
      <c r="Q499" s="7"/>
    </row>
    <row r="500" spans="1:17" ht="12.75" customHeight="1" x14ac:dyDescent="0.35">
      <c r="A500" s="6" t="s">
        <v>112</v>
      </c>
      <c r="B500" s="6" t="s">
        <v>113</v>
      </c>
      <c r="C500" s="7">
        <v>2022</v>
      </c>
      <c r="D500" s="8">
        <v>38</v>
      </c>
      <c r="E500" s="9">
        <v>1.423</v>
      </c>
      <c r="F500" s="9">
        <v>27.867999999999999</v>
      </c>
      <c r="G500" s="17">
        <v>0</v>
      </c>
      <c r="H500" s="9">
        <v>0.66669999999999996</v>
      </c>
      <c r="I500" s="9">
        <v>1.6E-2</v>
      </c>
      <c r="J500" s="9">
        <v>0.72299999999999998</v>
      </c>
      <c r="K500" s="9">
        <v>3.7999999999999999E-2</v>
      </c>
      <c r="L500" s="9">
        <v>1.3460000000000001</v>
      </c>
      <c r="M500" s="11">
        <v>4.9022100000000002</v>
      </c>
      <c r="N500" s="11">
        <v>2.54739</v>
      </c>
      <c r="O500" s="11">
        <v>0.60743999999999998</v>
      </c>
      <c r="P500" s="11">
        <v>8.0570500000000003</v>
      </c>
      <c r="Q500" s="7"/>
    </row>
    <row r="501" spans="1:17" ht="12.75" customHeight="1" x14ac:dyDescent="0.35">
      <c r="A501" s="6" t="s">
        <v>114</v>
      </c>
      <c r="B501" s="6" t="s">
        <v>115</v>
      </c>
      <c r="C501" s="7">
        <v>2020</v>
      </c>
      <c r="D501" s="8">
        <v>12</v>
      </c>
      <c r="E501" s="9">
        <v>1.911</v>
      </c>
      <c r="F501" s="9">
        <v>27.254000000000001</v>
      </c>
      <c r="G501" s="10">
        <v>0</v>
      </c>
      <c r="H501" s="9">
        <v>0.66669999999999996</v>
      </c>
      <c r="I501" s="9">
        <v>0.04</v>
      </c>
      <c r="J501" s="9">
        <v>4.5140000000000002</v>
      </c>
      <c r="K501" s="9">
        <v>0.11799999999999999</v>
      </c>
      <c r="L501" s="9">
        <v>2.9670000000000001</v>
      </c>
      <c r="M501" s="11">
        <v>8.3464200000000002</v>
      </c>
      <c r="N501" s="11">
        <v>162.74959999999999</v>
      </c>
      <c r="O501" s="11">
        <v>0.99385999999999997</v>
      </c>
      <c r="P501" s="11">
        <v>172.08987999999999</v>
      </c>
      <c r="Q501" s="7"/>
    </row>
    <row r="502" spans="1:17" ht="12.75" customHeight="1" x14ac:dyDescent="0.35">
      <c r="A502" s="6" t="s">
        <v>114</v>
      </c>
      <c r="B502" s="6" t="s">
        <v>115</v>
      </c>
      <c r="C502" s="7">
        <v>2021</v>
      </c>
      <c r="D502" s="8">
        <v>13</v>
      </c>
      <c r="E502" s="9">
        <v>1.849</v>
      </c>
      <c r="F502" s="9">
        <v>27.844000000000001</v>
      </c>
      <c r="G502" s="17">
        <v>0</v>
      </c>
      <c r="H502" s="9">
        <v>0.66669999999999996</v>
      </c>
      <c r="I502" s="9">
        <v>0.16400000000000001</v>
      </c>
      <c r="J502" s="9">
        <v>4.024</v>
      </c>
      <c r="K502" s="9">
        <v>0.46700000000000003</v>
      </c>
      <c r="L502" s="9">
        <v>3.1720000000000002</v>
      </c>
      <c r="M502" s="11">
        <v>8.3228000000000009</v>
      </c>
      <c r="N502" s="11">
        <v>260.71355</v>
      </c>
      <c r="O502" s="11">
        <v>0.99616000000000005</v>
      </c>
      <c r="P502" s="11">
        <v>270.03251</v>
      </c>
      <c r="Q502" s="7"/>
    </row>
    <row r="503" spans="1:17" ht="12.75" customHeight="1" x14ac:dyDescent="0.35">
      <c r="A503" s="6" t="s">
        <v>114</v>
      </c>
      <c r="B503" s="6" t="s">
        <v>115</v>
      </c>
      <c r="C503" s="7">
        <v>2022</v>
      </c>
      <c r="D503" s="8">
        <v>14</v>
      </c>
      <c r="E503" s="9">
        <v>2.33</v>
      </c>
      <c r="F503" s="9">
        <v>28.846</v>
      </c>
      <c r="G503" s="17">
        <v>0</v>
      </c>
      <c r="H503" s="9">
        <v>0.5</v>
      </c>
      <c r="I503" s="9">
        <v>0.17499999999999999</v>
      </c>
      <c r="J503" s="9">
        <v>1.419</v>
      </c>
      <c r="K503" s="9">
        <v>0.58399999999999996</v>
      </c>
      <c r="L503" s="9">
        <v>3.1</v>
      </c>
      <c r="M503" s="11">
        <v>8.7030600000000007</v>
      </c>
      <c r="N503" s="11">
        <v>367.09276999999997</v>
      </c>
      <c r="O503" s="11">
        <v>0.99728000000000006</v>
      </c>
      <c r="P503" s="11">
        <v>376.79311000000001</v>
      </c>
      <c r="Q503" s="7"/>
    </row>
    <row r="504" spans="1:17" ht="12.75" customHeight="1" x14ac:dyDescent="0.35">
      <c r="A504" s="6" t="s">
        <v>116</v>
      </c>
      <c r="B504" s="6" t="s">
        <v>117</v>
      </c>
      <c r="C504" s="7">
        <v>2016</v>
      </c>
      <c r="D504" s="8">
        <v>30</v>
      </c>
      <c r="E504" s="9">
        <v>1.0537799999999999</v>
      </c>
      <c r="F504" s="9">
        <v>27.9298</v>
      </c>
      <c r="G504" s="10">
        <v>0</v>
      </c>
      <c r="H504" s="9">
        <v>0.66666666666666663</v>
      </c>
      <c r="I504" s="9">
        <v>4.9799999999999997E-2</v>
      </c>
      <c r="J504" s="9">
        <v>1.4272499999999999</v>
      </c>
      <c r="K504" s="9">
        <v>0.1022</v>
      </c>
      <c r="L504" s="9">
        <v>0.1774</v>
      </c>
      <c r="M504" s="11">
        <v>0.20415</v>
      </c>
      <c r="N504" s="11">
        <v>3.7327599999999999</v>
      </c>
      <c r="O504" s="11">
        <v>0.73209999999999997</v>
      </c>
      <c r="P504" s="11">
        <v>4.6690199999999997</v>
      </c>
      <c r="Q504" s="7"/>
    </row>
    <row r="505" spans="1:17" ht="12.75" customHeight="1" x14ac:dyDescent="0.35">
      <c r="A505" s="6" t="s">
        <v>116</v>
      </c>
      <c r="B505" s="6" t="s">
        <v>117</v>
      </c>
      <c r="C505" s="7">
        <v>2019</v>
      </c>
      <c r="D505" s="8">
        <v>30</v>
      </c>
      <c r="E505" s="9">
        <v>1.0980000000000001</v>
      </c>
      <c r="F505" s="9">
        <v>28.835000000000001</v>
      </c>
      <c r="G505" s="17">
        <v>0</v>
      </c>
      <c r="H505" s="9">
        <v>0.66669999999999996</v>
      </c>
      <c r="I505" s="9">
        <v>8.1000000000000003E-2</v>
      </c>
      <c r="J505" s="9">
        <v>1.147</v>
      </c>
      <c r="K505" s="9">
        <v>0.17100000000000001</v>
      </c>
      <c r="L505" s="9">
        <v>0.378</v>
      </c>
      <c r="M505" s="11">
        <v>0.55781000000000003</v>
      </c>
      <c r="N505" s="11">
        <v>6.93377</v>
      </c>
      <c r="O505" s="11">
        <v>0.85577999999999999</v>
      </c>
      <c r="P505" s="11">
        <v>8.3473600000000001</v>
      </c>
      <c r="Q505" s="7"/>
    </row>
    <row r="506" spans="1:17" ht="12.75" customHeight="1" x14ac:dyDescent="0.35">
      <c r="A506" s="6" t="s">
        <v>116</v>
      </c>
      <c r="B506" s="6" t="s">
        <v>117</v>
      </c>
      <c r="C506" s="7">
        <v>2020</v>
      </c>
      <c r="D506" s="8">
        <v>31</v>
      </c>
      <c r="E506" s="9">
        <v>1.1830000000000001</v>
      </c>
      <c r="F506" s="9">
        <v>29.055</v>
      </c>
      <c r="G506" s="17">
        <v>0</v>
      </c>
      <c r="H506" s="9">
        <v>0.66669999999999996</v>
      </c>
      <c r="I506" s="9">
        <v>7.8E-2</v>
      </c>
      <c r="J506" s="9">
        <v>0.93500000000000005</v>
      </c>
      <c r="K506" s="9">
        <v>0.16900000000000001</v>
      </c>
      <c r="L506" s="9">
        <v>0.29099999999999998</v>
      </c>
      <c r="M506" s="11">
        <v>0.41469</v>
      </c>
      <c r="N506" s="11">
        <v>5.99641</v>
      </c>
      <c r="O506" s="11">
        <v>0.83323000000000003</v>
      </c>
      <c r="P506" s="11">
        <v>7.2443299999999997</v>
      </c>
      <c r="Q506" s="7"/>
    </row>
    <row r="507" spans="1:17" ht="12.75" customHeight="1" x14ac:dyDescent="0.35">
      <c r="A507" s="6" t="s">
        <v>116</v>
      </c>
      <c r="B507" s="6" t="s">
        <v>117</v>
      </c>
      <c r="C507" s="7">
        <v>2021</v>
      </c>
      <c r="D507" s="8">
        <v>32</v>
      </c>
      <c r="E507" s="9">
        <v>1.157</v>
      </c>
      <c r="F507" s="9">
        <v>29.167000000000002</v>
      </c>
      <c r="G507" s="17">
        <v>0</v>
      </c>
      <c r="H507" s="9">
        <v>0.66669999999999996</v>
      </c>
      <c r="I507" s="9">
        <v>6.4000000000000001E-2</v>
      </c>
      <c r="J507" s="9">
        <v>1.1100000000000001</v>
      </c>
      <c r="K507" s="9">
        <v>0.13700000000000001</v>
      </c>
      <c r="L507" s="9">
        <v>0.312</v>
      </c>
      <c r="M507" s="11">
        <v>0.46250000000000002</v>
      </c>
      <c r="N507" s="11">
        <v>5.7283200000000001</v>
      </c>
      <c r="O507" s="11">
        <v>0.82543</v>
      </c>
      <c r="P507" s="11">
        <v>7.0162399999999998</v>
      </c>
      <c r="Q507" s="7"/>
    </row>
    <row r="508" spans="1:17" ht="12.75" customHeight="1" x14ac:dyDescent="0.35">
      <c r="A508" s="6" t="s">
        <v>116</v>
      </c>
      <c r="B508" s="6" t="s">
        <v>117</v>
      </c>
      <c r="C508" s="7">
        <v>2022</v>
      </c>
      <c r="D508" s="8">
        <v>33</v>
      </c>
      <c r="E508" s="9">
        <v>1.2030000000000001</v>
      </c>
      <c r="F508" s="9">
        <v>29.417000000000002</v>
      </c>
      <c r="G508" s="17">
        <v>0</v>
      </c>
      <c r="H508" s="9">
        <v>0.66669999999999996</v>
      </c>
      <c r="I508" s="9">
        <v>6.9000000000000006E-2</v>
      </c>
      <c r="J508" s="9">
        <v>0.94699999999999995</v>
      </c>
      <c r="K508" s="9">
        <v>0.152</v>
      </c>
      <c r="L508" s="9">
        <v>0.35499999999999998</v>
      </c>
      <c r="M508" s="11">
        <v>0.56798999999999999</v>
      </c>
      <c r="N508" s="11">
        <v>6.1634000000000002</v>
      </c>
      <c r="O508" s="11">
        <v>0.83774999999999999</v>
      </c>
      <c r="P508" s="11">
        <v>7.5691300000000004</v>
      </c>
      <c r="Q508" s="7"/>
    </row>
    <row r="509" spans="1:17" ht="12.75" customHeight="1" x14ac:dyDescent="0.35">
      <c r="A509" s="6" t="s">
        <v>118</v>
      </c>
      <c r="B509" s="6" t="s">
        <v>119</v>
      </c>
      <c r="C509" s="7">
        <v>2022</v>
      </c>
      <c r="D509" s="8">
        <v>15</v>
      </c>
      <c r="E509" s="9">
        <v>0.24199999999999999</v>
      </c>
      <c r="F509" s="9">
        <v>25.635999999999999</v>
      </c>
      <c r="G509" s="17">
        <v>0</v>
      </c>
      <c r="H509" s="9">
        <v>0.66669999999999996</v>
      </c>
      <c r="I509" s="9">
        <v>8.4000000000000005E-2</v>
      </c>
      <c r="J509" s="9">
        <v>1.2529999999999999</v>
      </c>
      <c r="K509" s="9">
        <v>0.104</v>
      </c>
      <c r="L509" s="9">
        <v>0.57499999999999996</v>
      </c>
      <c r="M509" s="11">
        <v>0.71974000000000005</v>
      </c>
      <c r="N509" s="11">
        <v>4.5939800000000002</v>
      </c>
      <c r="O509" s="11">
        <v>0.78232000000000002</v>
      </c>
      <c r="P509" s="11">
        <v>6.09605</v>
      </c>
      <c r="Q509" s="7"/>
    </row>
    <row r="510" spans="1:17" ht="12.75" customHeight="1" x14ac:dyDescent="0.35">
      <c r="A510" s="6" t="s">
        <v>120</v>
      </c>
      <c r="B510" s="6" t="s">
        <v>121</v>
      </c>
      <c r="C510" s="7">
        <v>2019</v>
      </c>
      <c r="D510" s="8">
        <v>39</v>
      </c>
      <c r="E510" s="9">
        <v>0.49099999999999999</v>
      </c>
      <c r="F510" s="9">
        <v>27.494</v>
      </c>
      <c r="G510" s="17">
        <v>0</v>
      </c>
      <c r="H510" s="9">
        <v>0.66669999999999996</v>
      </c>
      <c r="I510" s="9">
        <v>7.0000000000000001E-3</v>
      </c>
      <c r="J510" s="9">
        <v>0.77400000000000002</v>
      </c>
      <c r="K510" s="9">
        <v>1.0999999999999999E-2</v>
      </c>
      <c r="L510" s="9">
        <v>0.28699999999999998</v>
      </c>
      <c r="M510" s="11">
        <v>0.43609999999999999</v>
      </c>
      <c r="N510" s="11">
        <v>10.922280000000001</v>
      </c>
      <c r="O510" s="11">
        <v>0.90844000000000003</v>
      </c>
      <c r="P510" s="11">
        <v>12.266819999999999</v>
      </c>
      <c r="Q510" s="7"/>
    </row>
    <row r="511" spans="1:17" ht="12.75" customHeight="1" x14ac:dyDescent="0.35">
      <c r="A511" s="6" t="s">
        <v>120</v>
      </c>
      <c r="B511" s="6" t="s">
        <v>121</v>
      </c>
      <c r="C511" s="7">
        <v>2020</v>
      </c>
      <c r="D511" s="8">
        <v>40</v>
      </c>
      <c r="E511" s="9">
        <v>0.56200000000000006</v>
      </c>
      <c r="F511" s="9">
        <v>27.504999999999999</v>
      </c>
      <c r="G511" s="17">
        <v>0</v>
      </c>
      <c r="H511" s="9">
        <v>0.66669999999999996</v>
      </c>
      <c r="I511" s="9">
        <v>-2.7E-2</v>
      </c>
      <c r="J511" s="9">
        <v>0.77400000000000002</v>
      </c>
      <c r="K511" s="9">
        <v>-4.1000000000000002E-2</v>
      </c>
      <c r="L511" s="9">
        <v>0.23799999999999999</v>
      </c>
      <c r="M511" s="11">
        <v>0.45145000000000002</v>
      </c>
      <c r="N511" s="11">
        <v>10.814859999999999</v>
      </c>
      <c r="O511" s="11">
        <v>0.90752999999999995</v>
      </c>
      <c r="P511" s="11">
        <v>12.17384</v>
      </c>
      <c r="Q511" s="7"/>
    </row>
    <row r="512" spans="1:17" ht="12.75" customHeight="1" x14ac:dyDescent="0.35">
      <c r="A512" s="6" t="s">
        <v>120</v>
      </c>
      <c r="B512" s="6" t="s">
        <v>121</v>
      </c>
      <c r="C512" s="7">
        <v>2021</v>
      </c>
      <c r="D512" s="8">
        <v>41</v>
      </c>
      <c r="E512" s="9">
        <v>0.28599999999999998</v>
      </c>
      <c r="F512" s="9">
        <v>27.681000000000001</v>
      </c>
      <c r="G512" s="17">
        <v>0</v>
      </c>
      <c r="H512" s="9">
        <v>0.66669999999999996</v>
      </c>
      <c r="I512" s="9">
        <v>0.23799999999999999</v>
      </c>
      <c r="J512" s="9">
        <v>0.82699999999999996</v>
      </c>
      <c r="K512" s="9">
        <v>0.30599999999999999</v>
      </c>
      <c r="L512" s="9">
        <v>0.48299999999999998</v>
      </c>
      <c r="M512" s="11">
        <v>0.47799999999999998</v>
      </c>
      <c r="N512" s="11">
        <v>16.093969999999999</v>
      </c>
      <c r="O512" s="11">
        <v>0.93786000000000003</v>
      </c>
      <c r="P512" s="11">
        <v>17.509830000000001</v>
      </c>
      <c r="Q512" s="7"/>
    </row>
    <row r="513" spans="1:17" ht="12.75" customHeight="1" x14ac:dyDescent="0.35">
      <c r="A513" s="6" t="s">
        <v>120</v>
      </c>
      <c r="B513" s="6" t="s">
        <v>121</v>
      </c>
      <c r="C513" s="7">
        <v>2022</v>
      </c>
      <c r="D513" s="8">
        <v>42</v>
      </c>
      <c r="E513" s="9">
        <v>0.16300000000000001</v>
      </c>
      <c r="F513" s="9">
        <v>27.798999999999999</v>
      </c>
      <c r="G513" s="17">
        <v>0</v>
      </c>
      <c r="H513" s="9">
        <v>0.66669999999999996</v>
      </c>
      <c r="I513" s="9">
        <v>0.34100000000000003</v>
      </c>
      <c r="J513" s="9">
        <v>1.871</v>
      </c>
      <c r="K513" s="9">
        <v>0.39600000000000002</v>
      </c>
      <c r="L513" s="9">
        <v>0.88700000000000001</v>
      </c>
      <c r="M513" s="11">
        <v>0.77109000000000005</v>
      </c>
      <c r="N513" s="11">
        <v>24.486820000000002</v>
      </c>
      <c r="O513" s="11">
        <v>0.95916000000000001</v>
      </c>
      <c r="P513" s="11">
        <v>26.217079999999999</v>
      </c>
      <c r="Q513" s="7"/>
    </row>
    <row r="514" spans="1:17" ht="12.75" customHeight="1" x14ac:dyDescent="0.35">
      <c r="A514" s="6" t="s">
        <v>122</v>
      </c>
      <c r="B514" s="6" t="s">
        <v>123</v>
      </c>
      <c r="C514" s="7">
        <v>2012</v>
      </c>
      <c r="D514" s="8">
        <f t="shared" ref="D514:D518" si="86">D515-1</f>
        <v>10</v>
      </c>
      <c r="E514" s="9">
        <v>0.13167999999999999</v>
      </c>
      <c r="F514" s="9">
        <v>26.451899999999998</v>
      </c>
      <c r="G514" s="10">
        <v>1</v>
      </c>
      <c r="H514" s="9">
        <f t="shared" ref="H514:H516" si="87">H515</f>
        <v>0.66666666666666663</v>
      </c>
      <c r="I514" s="9">
        <v>-0.2135</v>
      </c>
      <c r="J514" s="9">
        <v>7.4188999999999998</v>
      </c>
      <c r="K514" s="9">
        <v>-0.24160000000000001</v>
      </c>
      <c r="L514" s="9">
        <v>0.1371</v>
      </c>
      <c r="M514" s="11">
        <v>0.42243000000000003</v>
      </c>
      <c r="N514" s="11">
        <v>4.1511199999999997</v>
      </c>
      <c r="O514" s="11">
        <v>0.7591</v>
      </c>
      <c r="P514" s="11">
        <v>5.3326500000000001</v>
      </c>
      <c r="Q514" s="7"/>
    </row>
    <row r="515" spans="1:17" ht="12.75" customHeight="1" x14ac:dyDescent="0.35">
      <c r="A515" s="6" t="s">
        <v>122</v>
      </c>
      <c r="B515" s="6" t="s">
        <v>123</v>
      </c>
      <c r="C515" s="7">
        <v>2014</v>
      </c>
      <c r="D515" s="8">
        <f t="shared" si="86"/>
        <v>11</v>
      </c>
      <c r="E515" s="9">
        <v>0.99085999999999996</v>
      </c>
      <c r="F515" s="9">
        <v>28.594799999999999</v>
      </c>
      <c r="G515" s="10">
        <v>0</v>
      </c>
      <c r="H515" s="9">
        <f t="shared" si="87"/>
        <v>0.66666666666666663</v>
      </c>
      <c r="I515" s="9">
        <v>-1.3299999999999999E-2</v>
      </c>
      <c r="J515" s="9">
        <v>1.07762</v>
      </c>
      <c r="K515" s="9">
        <v>-2.6499999999999999E-2</v>
      </c>
      <c r="L515" s="9">
        <v>0.13320000000000001</v>
      </c>
      <c r="M515" s="11">
        <v>0.30969999999999998</v>
      </c>
      <c r="N515" s="11">
        <v>5.57334</v>
      </c>
      <c r="O515" s="11">
        <v>0.82057000000000002</v>
      </c>
      <c r="P515" s="11">
        <v>6.7036199999999999</v>
      </c>
      <c r="Q515" s="7"/>
    </row>
    <row r="516" spans="1:17" ht="12.75" customHeight="1" x14ac:dyDescent="0.35">
      <c r="A516" s="6" t="s">
        <v>122</v>
      </c>
      <c r="B516" s="6" t="s">
        <v>123</v>
      </c>
      <c r="C516" s="7">
        <v>2015</v>
      </c>
      <c r="D516" s="8">
        <f t="shared" si="86"/>
        <v>12</v>
      </c>
      <c r="E516" s="9">
        <v>1.14561</v>
      </c>
      <c r="F516" s="9">
        <v>28.605799999999999</v>
      </c>
      <c r="G516" s="10">
        <v>0</v>
      </c>
      <c r="H516" s="9">
        <f t="shared" si="87"/>
        <v>0.66666666666666663</v>
      </c>
      <c r="I516" s="9">
        <v>-0.1014</v>
      </c>
      <c r="J516" s="9">
        <v>1.0509999999999999</v>
      </c>
      <c r="K516" s="9">
        <v>-0.21759999999999999</v>
      </c>
      <c r="L516" s="9">
        <v>0.2046</v>
      </c>
      <c r="M516" s="11">
        <v>0.60770000000000002</v>
      </c>
      <c r="N516" s="11">
        <v>6.0360500000000004</v>
      </c>
      <c r="O516" s="11">
        <v>0.83433000000000002</v>
      </c>
      <c r="P516" s="11">
        <v>7.4780699999999998</v>
      </c>
      <c r="Q516" s="7"/>
    </row>
    <row r="517" spans="1:17" ht="12.75" customHeight="1" x14ac:dyDescent="0.35">
      <c r="A517" s="6" t="s">
        <v>122</v>
      </c>
      <c r="B517" s="6" t="s">
        <v>123</v>
      </c>
      <c r="C517" s="7">
        <v>2016</v>
      </c>
      <c r="D517" s="8">
        <f t="shared" si="86"/>
        <v>13</v>
      </c>
      <c r="E517" s="9">
        <v>1.4571400000000001</v>
      </c>
      <c r="F517" s="9">
        <v>28.516500000000001</v>
      </c>
      <c r="G517" s="10">
        <v>0</v>
      </c>
      <c r="H517" s="9">
        <v>0.66666666666666663</v>
      </c>
      <c r="I517" s="9">
        <v>-9.3100000000000002E-2</v>
      </c>
      <c r="J517" s="9">
        <v>1.40069</v>
      </c>
      <c r="K517" s="9">
        <v>-0.22869999999999999</v>
      </c>
      <c r="L517" s="9">
        <v>0.23849999999999999</v>
      </c>
      <c r="M517" s="11">
        <v>0.79025999999999996</v>
      </c>
      <c r="N517" s="11">
        <v>5.49092</v>
      </c>
      <c r="O517" s="11">
        <v>0.81788000000000005</v>
      </c>
      <c r="P517" s="11">
        <v>7.0990599999999997</v>
      </c>
      <c r="Q517" s="7"/>
    </row>
    <row r="518" spans="1:17" ht="12.75" customHeight="1" x14ac:dyDescent="0.35">
      <c r="A518" s="6" t="s">
        <v>122</v>
      </c>
      <c r="B518" s="6" t="s">
        <v>123</v>
      </c>
      <c r="C518" s="7">
        <v>2017</v>
      </c>
      <c r="D518" s="8">
        <f t="shared" si="86"/>
        <v>14</v>
      </c>
      <c r="E518" s="9">
        <v>0.98277999999999999</v>
      </c>
      <c r="F518" s="9">
        <v>28.339400000000001</v>
      </c>
      <c r="G518" s="10">
        <v>0</v>
      </c>
      <c r="H518" s="9">
        <v>0.66666666666666663</v>
      </c>
      <c r="I518" s="9">
        <v>1.61E-2</v>
      </c>
      <c r="J518" s="9">
        <v>1.86246</v>
      </c>
      <c r="K518" s="9">
        <v>3.1899999999999998E-2</v>
      </c>
      <c r="L518" s="9">
        <v>0.36420000000000002</v>
      </c>
      <c r="M518" s="11">
        <v>0.85701000000000005</v>
      </c>
      <c r="N518" s="11">
        <v>4.8610499999999996</v>
      </c>
      <c r="O518" s="11">
        <v>0.79427999999999999</v>
      </c>
      <c r="P518" s="11">
        <v>6.5123499999999996</v>
      </c>
      <c r="Q518" s="7"/>
    </row>
    <row r="519" spans="1:17" ht="12.75" customHeight="1" x14ac:dyDescent="0.35">
      <c r="A519" s="6" t="s">
        <v>122</v>
      </c>
      <c r="B519" s="6" t="s">
        <v>123</v>
      </c>
      <c r="C519" s="7">
        <v>2018</v>
      </c>
      <c r="D519" s="8">
        <v>15</v>
      </c>
      <c r="E519" s="9">
        <v>0.99199999999999999</v>
      </c>
      <c r="F519" s="9">
        <v>28.277000000000001</v>
      </c>
      <c r="G519" s="17">
        <v>0</v>
      </c>
      <c r="H519" s="9">
        <v>0.66669999999999996</v>
      </c>
      <c r="I519" s="9">
        <v>-3.5999999999999997E-2</v>
      </c>
      <c r="J519" s="9">
        <v>2.4590000000000001</v>
      </c>
      <c r="K519" s="9">
        <v>-7.2999999999999995E-2</v>
      </c>
      <c r="L519" s="9">
        <v>0.44600000000000001</v>
      </c>
      <c r="M519" s="11">
        <v>1.0267999999999999</v>
      </c>
      <c r="N519" s="11">
        <v>4.5299500000000004</v>
      </c>
      <c r="O519" s="11">
        <v>0.77925</v>
      </c>
      <c r="P519" s="11">
        <v>6.3360000000000003</v>
      </c>
      <c r="Q519" s="7"/>
    </row>
    <row r="520" spans="1:17" ht="12.75" customHeight="1" x14ac:dyDescent="0.35">
      <c r="A520" s="6" t="s">
        <v>122</v>
      </c>
      <c r="B520" s="6" t="s">
        <v>123</v>
      </c>
      <c r="C520" s="7">
        <v>2019</v>
      </c>
      <c r="D520" s="8">
        <v>16</v>
      </c>
      <c r="E520" s="9">
        <v>1.165</v>
      </c>
      <c r="F520" s="9">
        <v>28.146999999999998</v>
      </c>
      <c r="G520" s="17">
        <v>0</v>
      </c>
      <c r="H520" s="9">
        <v>0.66669999999999996</v>
      </c>
      <c r="I520" s="9">
        <v>-0.112</v>
      </c>
      <c r="J520" s="9">
        <v>0.91100000000000003</v>
      </c>
      <c r="K520" s="9">
        <v>-0.24199999999999999</v>
      </c>
      <c r="L520" s="9">
        <v>0.41699999999999998</v>
      </c>
      <c r="M520" s="11">
        <v>1.2821800000000001</v>
      </c>
      <c r="N520" s="11">
        <v>4.0047300000000003</v>
      </c>
      <c r="O520" s="11">
        <v>0.75029999999999997</v>
      </c>
      <c r="P520" s="11">
        <v>6.0372000000000003</v>
      </c>
      <c r="Q520" s="7"/>
    </row>
    <row r="521" spans="1:17" ht="12.75" customHeight="1" x14ac:dyDescent="0.35">
      <c r="A521" s="6" t="s">
        <v>122</v>
      </c>
      <c r="B521" s="6" t="s">
        <v>123</v>
      </c>
      <c r="C521" s="7">
        <v>2020</v>
      </c>
      <c r="D521" s="8">
        <v>17</v>
      </c>
      <c r="E521" s="9">
        <v>1.881</v>
      </c>
      <c r="F521" s="9">
        <v>27.885000000000002</v>
      </c>
      <c r="G521" s="17">
        <v>0</v>
      </c>
      <c r="H521" s="9">
        <v>0.66669999999999996</v>
      </c>
      <c r="I521" s="9">
        <v>-0.25</v>
      </c>
      <c r="J521" s="9">
        <v>1.1379999999999999</v>
      </c>
      <c r="K521" s="9">
        <v>-0.72</v>
      </c>
      <c r="L521" s="9">
        <v>0.38200000000000001</v>
      </c>
      <c r="M521" s="11">
        <v>1.70255</v>
      </c>
      <c r="N521" s="11">
        <v>3.7085400000000002</v>
      </c>
      <c r="O521" s="11">
        <v>0.73035000000000005</v>
      </c>
      <c r="P521" s="11">
        <v>6.1414400000000002</v>
      </c>
      <c r="Q521" s="7"/>
    </row>
    <row r="522" spans="1:17" ht="12.75" customHeight="1" x14ac:dyDescent="0.35">
      <c r="A522" s="6" t="s">
        <v>122</v>
      </c>
      <c r="B522" s="6" t="s">
        <v>123</v>
      </c>
      <c r="C522" s="7">
        <v>2021</v>
      </c>
      <c r="D522" s="8">
        <v>18</v>
      </c>
      <c r="E522" s="9">
        <v>3.8570000000000002</v>
      </c>
      <c r="F522" s="9">
        <v>27.66</v>
      </c>
      <c r="G522" s="17">
        <v>0</v>
      </c>
      <c r="H522" s="9">
        <v>0.66669999999999996</v>
      </c>
      <c r="I522" s="9">
        <v>-0.23</v>
      </c>
      <c r="J522" s="9">
        <v>1.401</v>
      </c>
      <c r="K522" s="9">
        <v>-1.1160000000000001</v>
      </c>
      <c r="L522" s="9">
        <v>0.52600000000000002</v>
      </c>
      <c r="M522" s="11">
        <v>3.8203399999999998</v>
      </c>
      <c r="N522" s="11">
        <v>4.5972400000000002</v>
      </c>
      <c r="O522" s="11">
        <v>0.78247999999999995</v>
      </c>
      <c r="P522" s="11">
        <v>9.2000600000000006</v>
      </c>
      <c r="Q522" s="7"/>
    </row>
    <row r="523" spans="1:17" ht="12.75" customHeight="1" x14ac:dyDescent="0.35">
      <c r="A523" s="6" t="s">
        <v>122</v>
      </c>
      <c r="B523" s="6" t="s">
        <v>123</v>
      </c>
      <c r="C523" s="7">
        <v>2022</v>
      </c>
      <c r="D523" s="8">
        <v>19</v>
      </c>
      <c r="E523" s="9">
        <v>3.7959999999999998</v>
      </c>
      <c r="F523" s="9">
        <v>27.565000000000001</v>
      </c>
      <c r="G523" s="17">
        <v>0</v>
      </c>
      <c r="H523" s="9">
        <v>0.66669999999999996</v>
      </c>
      <c r="I523" s="9">
        <v>-1.9E-2</v>
      </c>
      <c r="J523" s="9">
        <v>1.4590000000000001</v>
      </c>
      <c r="K523" s="9">
        <v>-9.2999999999999999E-2</v>
      </c>
      <c r="L523" s="9">
        <v>0.53100000000000003</v>
      </c>
      <c r="M523" s="11">
        <v>2.88428</v>
      </c>
      <c r="N523" s="11">
        <v>3.4773499999999999</v>
      </c>
      <c r="O523" s="11">
        <v>0.71242000000000005</v>
      </c>
      <c r="P523" s="11">
        <v>7.0740499999999997</v>
      </c>
      <c r="Q523" s="7"/>
    </row>
    <row r="524" spans="1:17" ht="12.75" customHeight="1" x14ac:dyDescent="0.35">
      <c r="A524" s="6" t="s">
        <v>124</v>
      </c>
      <c r="B524" s="6" t="s">
        <v>125</v>
      </c>
      <c r="C524" s="7">
        <v>2019</v>
      </c>
      <c r="D524" s="8">
        <v>9</v>
      </c>
      <c r="E524" s="9">
        <v>1.0509999999999999</v>
      </c>
      <c r="F524" s="9">
        <v>29.888999999999999</v>
      </c>
      <c r="G524" s="17">
        <v>0</v>
      </c>
      <c r="H524" s="9">
        <v>0.66669999999999996</v>
      </c>
      <c r="I524" s="9">
        <v>1.4E-2</v>
      </c>
      <c r="J524" s="9">
        <v>0.63900000000000001</v>
      </c>
      <c r="K524" s="9">
        <v>2.8000000000000001E-2</v>
      </c>
      <c r="L524" s="9">
        <v>0.22900000000000001</v>
      </c>
      <c r="M524" s="11">
        <v>0.33611000000000002</v>
      </c>
      <c r="N524" s="11">
        <v>9.0998599999999996</v>
      </c>
      <c r="O524" s="11">
        <v>0.89010999999999996</v>
      </c>
      <c r="P524" s="11">
        <v>10.32607</v>
      </c>
      <c r="Q524" s="7"/>
    </row>
    <row r="525" spans="1:17" ht="12.75" customHeight="1" x14ac:dyDescent="0.35">
      <c r="A525" s="6" t="s">
        <v>124</v>
      </c>
      <c r="B525" s="6" t="s">
        <v>125</v>
      </c>
      <c r="C525" s="7">
        <v>2020</v>
      </c>
      <c r="D525" s="8">
        <v>10</v>
      </c>
      <c r="E525" s="9">
        <v>0.82699999999999996</v>
      </c>
      <c r="F525" s="9">
        <v>29.861000000000001</v>
      </c>
      <c r="G525" s="17">
        <v>0</v>
      </c>
      <c r="H525" s="9">
        <v>0.66669999999999996</v>
      </c>
      <c r="I525" s="9">
        <v>4.1000000000000002E-2</v>
      </c>
      <c r="J525" s="9">
        <v>0.65300000000000002</v>
      </c>
      <c r="K525" s="9">
        <v>7.5999999999999998E-2</v>
      </c>
      <c r="L525" s="9">
        <v>0.19700000000000001</v>
      </c>
      <c r="M525" s="11">
        <v>0.15795999999999999</v>
      </c>
      <c r="N525" s="11">
        <v>4.92455</v>
      </c>
      <c r="O525" s="11">
        <v>0.79693999999999998</v>
      </c>
      <c r="P525" s="11">
        <v>5.8794500000000003</v>
      </c>
      <c r="Q525" s="7"/>
    </row>
    <row r="526" spans="1:17" ht="12.75" customHeight="1" x14ac:dyDescent="0.35">
      <c r="A526" s="6" t="s">
        <v>124</v>
      </c>
      <c r="B526" s="6" t="s">
        <v>125</v>
      </c>
      <c r="C526" s="7">
        <v>2021</v>
      </c>
      <c r="D526" s="8">
        <v>11</v>
      </c>
      <c r="E526" s="9">
        <v>0.71199999999999997</v>
      </c>
      <c r="F526" s="9">
        <v>29.826000000000001</v>
      </c>
      <c r="G526" s="17">
        <v>0</v>
      </c>
      <c r="H526" s="9">
        <v>0.66669999999999996</v>
      </c>
      <c r="I526" s="9">
        <v>8.9999999999999993E-3</v>
      </c>
      <c r="J526" s="9">
        <v>0.56999999999999995</v>
      </c>
      <c r="K526" s="9">
        <v>1.4999999999999999E-2</v>
      </c>
      <c r="L526" s="9">
        <v>0.20499999999999999</v>
      </c>
      <c r="M526" s="11">
        <v>0.25917000000000001</v>
      </c>
      <c r="N526" s="11">
        <v>11.310219999999999</v>
      </c>
      <c r="O526" s="11">
        <v>0.91157999999999995</v>
      </c>
      <c r="P526" s="11">
        <v>12.480980000000001</v>
      </c>
      <c r="Q526" s="7"/>
    </row>
    <row r="527" spans="1:17" ht="12.75" customHeight="1" x14ac:dyDescent="0.35">
      <c r="A527" s="6" t="s">
        <v>124</v>
      </c>
      <c r="B527" s="6" t="s">
        <v>125</v>
      </c>
      <c r="C527" s="7">
        <v>2022</v>
      </c>
      <c r="D527" s="8">
        <v>12</v>
      </c>
      <c r="E527" s="9">
        <v>0.69499999999999995</v>
      </c>
      <c r="F527" s="9">
        <v>29.931000000000001</v>
      </c>
      <c r="G527" s="17">
        <v>0</v>
      </c>
      <c r="H527" s="9">
        <v>0.66669999999999996</v>
      </c>
      <c r="I527" s="9">
        <v>0.01</v>
      </c>
      <c r="J527" s="9">
        <v>0.53800000000000003</v>
      </c>
      <c r="K527" s="9">
        <v>1.7000000000000001E-2</v>
      </c>
      <c r="L527" s="9">
        <v>0.22700000000000001</v>
      </c>
      <c r="M527" s="11">
        <v>0.27511999999999998</v>
      </c>
      <c r="N527" s="11">
        <v>12.617990000000001</v>
      </c>
      <c r="O527" s="11">
        <v>0.92074999999999996</v>
      </c>
      <c r="P527" s="11">
        <v>13.81385</v>
      </c>
      <c r="Q527" s="7"/>
    </row>
    <row r="528" spans="1:17" ht="12.75" customHeight="1" x14ac:dyDescent="0.35">
      <c r="A528" s="6" t="s">
        <v>126</v>
      </c>
      <c r="B528" s="6" t="s">
        <v>127</v>
      </c>
      <c r="C528" s="7">
        <v>2012</v>
      </c>
      <c r="D528" s="8">
        <v>10</v>
      </c>
      <c r="E528" s="9">
        <v>0.45229000000000003</v>
      </c>
      <c r="F528" s="9">
        <v>28.8979</v>
      </c>
      <c r="G528" s="10">
        <v>0</v>
      </c>
      <c r="H528" s="9">
        <v>0.66669999999999996</v>
      </c>
      <c r="I528" s="9">
        <v>3.7000000000000002E-3</v>
      </c>
      <c r="J528" s="9">
        <v>0.52869999999999995</v>
      </c>
      <c r="K528" s="9">
        <v>5.4000000000000003E-3</v>
      </c>
      <c r="L528" s="9">
        <v>0.02</v>
      </c>
      <c r="M528" s="11">
        <v>4.8900000000000002E-3</v>
      </c>
      <c r="N528" s="11">
        <v>0.66095999999999999</v>
      </c>
      <c r="O528" s="11">
        <v>-0.51295999999999997</v>
      </c>
      <c r="P528" s="11">
        <v>0.15287999999999999</v>
      </c>
      <c r="Q528" s="8"/>
    </row>
    <row r="529" spans="1:17" ht="12.75" customHeight="1" x14ac:dyDescent="0.35">
      <c r="A529" s="6" t="s">
        <v>126</v>
      </c>
      <c r="B529" s="6" t="s">
        <v>127</v>
      </c>
      <c r="C529" s="7">
        <v>2013</v>
      </c>
      <c r="D529" s="8">
        <v>11</v>
      </c>
      <c r="E529" s="9">
        <v>0.78710000000000002</v>
      </c>
      <c r="F529" s="9">
        <v>29.330500000000001</v>
      </c>
      <c r="G529" s="10">
        <v>0</v>
      </c>
      <c r="H529" s="9">
        <v>0.66669999999999996</v>
      </c>
      <c r="I529" s="9">
        <v>6.1800000000000001E-2</v>
      </c>
      <c r="J529" s="9">
        <v>0.65710999999999997</v>
      </c>
      <c r="K529" s="9">
        <v>0.1104</v>
      </c>
      <c r="L529" s="9">
        <v>1.21E-2</v>
      </c>
      <c r="M529" s="11">
        <v>-0.11201999999999999</v>
      </c>
      <c r="N529" s="11">
        <v>-13.7874</v>
      </c>
      <c r="O529" s="11">
        <v>1.07253</v>
      </c>
      <c r="P529" s="11">
        <v>-12.826890000000001</v>
      </c>
      <c r="Q529" s="8"/>
    </row>
    <row r="530" spans="1:17" ht="12.75" customHeight="1" x14ac:dyDescent="0.35">
      <c r="A530" s="6" t="s">
        <v>126</v>
      </c>
      <c r="B530" s="6" t="s">
        <v>127</v>
      </c>
      <c r="C530" s="7">
        <v>2014</v>
      </c>
      <c r="D530" s="8">
        <v>12</v>
      </c>
      <c r="E530" s="9">
        <v>0.82481000000000004</v>
      </c>
      <c r="F530" s="9">
        <v>29.496400000000001</v>
      </c>
      <c r="G530" s="10">
        <v>0</v>
      </c>
      <c r="H530" s="9">
        <v>0.66669999999999996</v>
      </c>
      <c r="I530" s="9">
        <v>7.7999999999999996E-3</v>
      </c>
      <c r="J530" s="9">
        <v>0.64854999999999996</v>
      </c>
      <c r="K530" s="9">
        <v>1.4200000000000001E-2</v>
      </c>
      <c r="L530" s="9">
        <v>9.9000000000000008E-3</v>
      </c>
      <c r="M530" s="11">
        <v>-4.82E-2</v>
      </c>
      <c r="N530" s="11">
        <v>-4.1749999999999998</v>
      </c>
      <c r="O530" s="11">
        <v>1.23952</v>
      </c>
      <c r="P530" s="11">
        <v>-2.9836800000000001</v>
      </c>
      <c r="Q530" s="8"/>
    </row>
    <row r="531" spans="1:17" ht="12.75" customHeight="1" x14ac:dyDescent="0.35">
      <c r="A531" s="6" t="s">
        <v>126</v>
      </c>
      <c r="B531" s="6" t="s">
        <v>127</v>
      </c>
      <c r="C531" s="7">
        <v>2015</v>
      </c>
      <c r="D531" s="8">
        <v>13</v>
      </c>
      <c r="E531" s="9">
        <v>3.7451099999999999</v>
      </c>
      <c r="F531" s="9">
        <v>30.437000000000001</v>
      </c>
      <c r="G531" s="10">
        <v>0</v>
      </c>
      <c r="H531" s="9">
        <v>0.66669999999999996</v>
      </c>
      <c r="I531" s="9">
        <v>-3.1E-2</v>
      </c>
      <c r="J531" s="9">
        <v>0.87502000000000002</v>
      </c>
      <c r="K531" s="9">
        <v>-0.14729999999999999</v>
      </c>
      <c r="L531" s="9">
        <v>3.8367</v>
      </c>
      <c r="M531" s="11">
        <v>3.737E-2</v>
      </c>
      <c r="N531" s="11">
        <v>3.9096700000000002</v>
      </c>
      <c r="O531" s="11">
        <v>0.74421999999999999</v>
      </c>
      <c r="P531" s="11">
        <v>4.6912599999999998</v>
      </c>
      <c r="Q531" s="8"/>
    </row>
    <row r="532" spans="1:17" ht="12.75" customHeight="1" x14ac:dyDescent="0.35">
      <c r="A532" s="6" t="s">
        <v>126</v>
      </c>
      <c r="B532" s="6" t="s">
        <v>127</v>
      </c>
      <c r="C532" s="7">
        <v>2016</v>
      </c>
      <c r="D532" s="8">
        <v>14</v>
      </c>
      <c r="E532" s="9">
        <v>1.5920799999999999</v>
      </c>
      <c r="F532" s="9">
        <v>29.421600000000002</v>
      </c>
      <c r="G532" s="10">
        <v>0</v>
      </c>
      <c r="H532" s="9">
        <v>0.66669999999999996</v>
      </c>
      <c r="I532" s="9">
        <v>-0.1928</v>
      </c>
      <c r="J532" s="9">
        <v>0.67288000000000003</v>
      </c>
      <c r="K532" s="9">
        <v>-0.49980000000000002</v>
      </c>
      <c r="L532" s="9">
        <v>5.9999999999999995E-4</v>
      </c>
      <c r="M532" s="11">
        <v>0.39643</v>
      </c>
      <c r="N532" s="11">
        <v>35.7973</v>
      </c>
      <c r="O532" s="11">
        <v>0.97206000000000004</v>
      </c>
      <c r="P532" s="11">
        <v>37.165790000000001</v>
      </c>
      <c r="Q532" s="8"/>
    </row>
    <row r="533" spans="1:17" ht="12.75" customHeight="1" x14ac:dyDescent="0.35">
      <c r="A533" s="6" t="s">
        <v>126</v>
      </c>
      <c r="B533" s="6" t="s">
        <v>127</v>
      </c>
      <c r="C533" s="7">
        <v>2017</v>
      </c>
      <c r="D533" s="8">
        <v>15</v>
      </c>
      <c r="E533" s="9">
        <v>2.0228199999999998</v>
      </c>
      <c r="F533" s="9">
        <v>29.480599999999999</v>
      </c>
      <c r="G533" s="10">
        <v>0</v>
      </c>
      <c r="H533" s="9">
        <v>0.66669999999999996</v>
      </c>
      <c r="I533" s="9">
        <v>-3.95E-2</v>
      </c>
      <c r="J533" s="9">
        <v>0.70054000000000005</v>
      </c>
      <c r="K533" s="9">
        <v>-0.1195</v>
      </c>
      <c r="L533" s="9">
        <v>1.6999999999999999E-3</v>
      </c>
      <c r="M533" s="11">
        <v>-8.6999999999999994E-2</v>
      </c>
      <c r="N533" s="11">
        <v>-7.6913400000000003</v>
      </c>
      <c r="O533" s="11">
        <v>1.13002</v>
      </c>
      <c r="P533" s="11">
        <v>-6.6483299999999996</v>
      </c>
      <c r="Q533" s="8"/>
    </row>
    <row r="534" spans="1:17" ht="12.75" customHeight="1" x14ac:dyDescent="0.35">
      <c r="A534" s="6" t="s">
        <v>128</v>
      </c>
      <c r="B534" s="6" t="s">
        <v>129</v>
      </c>
      <c r="C534" s="7">
        <v>2018</v>
      </c>
      <c r="D534" s="8">
        <v>7</v>
      </c>
      <c r="E534" s="9">
        <v>3.9119999999999999</v>
      </c>
      <c r="F534" s="9">
        <v>27.065000000000001</v>
      </c>
      <c r="G534" s="17">
        <v>0</v>
      </c>
      <c r="H534" s="9">
        <v>0.66669999999999996</v>
      </c>
      <c r="I534" s="9">
        <v>-0.05</v>
      </c>
      <c r="J534" s="9">
        <v>16.756</v>
      </c>
      <c r="K534" s="9">
        <v>-0.24399999999999999</v>
      </c>
      <c r="L534" s="9">
        <v>0.52100000000000002</v>
      </c>
      <c r="M534" s="11">
        <v>2.2389399999999999</v>
      </c>
      <c r="N534" s="11">
        <v>5.1108000000000002</v>
      </c>
      <c r="O534" s="11">
        <v>0.80434000000000005</v>
      </c>
      <c r="P534" s="11">
        <v>8.1540800000000004</v>
      </c>
      <c r="Q534" s="7"/>
    </row>
    <row r="535" spans="1:17" ht="12.75" customHeight="1" x14ac:dyDescent="0.35">
      <c r="A535" s="6" t="s">
        <v>128</v>
      </c>
      <c r="B535" s="6" t="s">
        <v>129</v>
      </c>
      <c r="C535" s="7">
        <v>2019</v>
      </c>
      <c r="D535" s="8">
        <v>8</v>
      </c>
      <c r="E535" s="9">
        <v>5.9450000000000003</v>
      </c>
      <c r="F535" s="9">
        <v>27.48</v>
      </c>
      <c r="G535" s="17">
        <v>0</v>
      </c>
      <c r="H535" s="9">
        <v>0.66669999999999996</v>
      </c>
      <c r="I535" s="9">
        <v>0.01</v>
      </c>
      <c r="J535" s="9">
        <v>5.9950000000000001</v>
      </c>
      <c r="K535" s="9">
        <v>7.0000000000000007E-2</v>
      </c>
      <c r="L535" s="9">
        <v>0.33900000000000002</v>
      </c>
      <c r="M535" s="11">
        <v>1.9392799999999999</v>
      </c>
      <c r="N535" s="11">
        <v>4.8297699999999999</v>
      </c>
      <c r="O535" s="11">
        <v>0.79295000000000004</v>
      </c>
      <c r="P535" s="11">
        <v>7.5620000000000003</v>
      </c>
      <c r="Q535" s="7"/>
    </row>
    <row r="536" spans="1:17" ht="12.75" customHeight="1" x14ac:dyDescent="0.35">
      <c r="A536" s="6" t="s">
        <v>128</v>
      </c>
      <c r="B536" s="6" t="s">
        <v>129</v>
      </c>
      <c r="C536" s="7">
        <v>2020</v>
      </c>
      <c r="D536" s="8">
        <v>9</v>
      </c>
      <c r="E536" s="9">
        <v>0.81</v>
      </c>
      <c r="F536" s="9">
        <v>27.721</v>
      </c>
      <c r="G536" s="17">
        <v>0</v>
      </c>
      <c r="H536" s="9">
        <v>0.66669999999999996</v>
      </c>
      <c r="I536" s="9">
        <v>-2.1000000000000001E-2</v>
      </c>
      <c r="J536" s="9">
        <v>3.911</v>
      </c>
      <c r="K536" s="9">
        <v>-3.6999999999999998E-2</v>
      </c>
      <c r="L536" s="9">
        <v>0.307</v>
      </c>
      <c r="M536" s="11">
        <v>1.89018</v>
      </c>
      <c r="N536" s="11">
        <v>4.5702699999999998</v>
      </c>
      <c r="O536" s="11">
        <v>0.78119000000000005</v>
      </c>
      <c r="P536" s="11">
        <v>7.2416400000000003</v>
      </c>
      <c r="Q536" s="7"/>
    </row>
    <row r="537" spans="1:17" ht="12.75" customHeight="1" x14ac:dyDescent="0.35">
      <c r="A537" s="6" t="s">
        <v>128</v>
      </c>
      <c r="B537" s="6" t="s">
        <v>129</v>
      </c>
      <c r="C537" s="7">
        <v>2021</v>
      </c>
      <c r="D537" s="8">
        <v>10</v>
      </c>
      <c r="E537" s="9">
        <v>0.86499999999999999</v>
      </c>
      <c r="F537" s="9">
        <v>27.628</v>
      </c>
      <c r="G537" s="17">
        <v>0</v>
      </c>
      <c r="H537" s="9">
        <v>0.66669999999999996</v>
      </c>
      <c r="I537" s="9">
        <v>-7.0999999999999994E-2</v>
      </c>
      <c r="J537" s="9">
        <v>3.452</v>
      </c>
      <c r="K537" s="9">
        <v>-0.13200000000000001</v>
      </c>
      <c r="L537" s="9">
        <v>0.34</v>
      </c>
      <c r="M537" s="11">
        <v>0.47381000000000001</v>
      </c>
      <c r="N537" s="11">
        <v>4.8829099999999999</v>
      </c>
      <c r="O537" s="11">
        <v>0.79520000000000002</v>
      </c>
      <c r="P537" s="11">
        <v>6.1519199999999996</v>
      </c>
      <c r="Q537" s="7"/>
    </row>
    <row r="538" spans="1:17" ht="12.75" customHeight="1" x14ac:dyDescent="0.35">
      <c r="A538" s="6" t="s">
        <v>128</v>
      </c>
      <c r="B538" s="6" t="s">
        <v>129</v>
      </c>
      <c r="C538" s="7">
        <v>2022</v>
      </c>
      <c r="D538" s="8">
        <v>11</v>
      </c>
      <c r="E538" s="9">
        <v>1.1220000000000001</v>
      </c>
      <c r="F538" s="9">
        <v>27.591999999999999</v>
      </c>
      <c r="G538" s="17">
        <v>0</v>
      </c>
      <c r="H538" s="9">
        <v>0.66669999999999996</v>
      </c>
      <c r="I538" s="9">
        <v>-8.5000000000000006E-2</v>
      </c>
      <c r="J538" s="9">
        <v>3.2080000000000002</v>
      </c>
      <c r="K538" s="9">
        <v>-0.18</v>
      </c>
      <c r="L538" s="9">
        <v>0.38900000000000001</v>
      </c>
      <c r="M538" s="11">
        <v>0.73333000000000004</v>
      </c>
      <c r="N538" s="11">
        <v>6.4424599999999996</v>
      </c>
      <c r="O538" s="11">
        <v>0.84477999999999998</v>
      </c>
      <c r="P538" s="11">
        <v>8.0205699999999993</v>
      </c>
      <c r="Q538" s="7"/>
    </row>
    <row r="539" spans="1:17" ht="12.75" customHeight="1" x14ac:dyDescent="0.35">
      <c r="A539" s="6" t="s">
        <v>130</v>
      </c>
      <c r="B539" s="6" t="s">
        <v>131</v>
      </c>
      <c r="C539" s="7">
        <v>2019</v>
      </c>
      <c r="D539" s="8">
        <v>21</v>
      </c>
      <c r="E539" s="9">
        <v>1.1259999999999999</v>
      </c>
      <c r="F539" s="9">
        <v>27.827000000000002</v>
      </c>
      <c r="G539" s="17">
        <v>0</v>
      </c>
      <c r="H539" s="9">
        <v>0.66669999999999996</v>
      </c>
      <c r="I539" s="9">
        <v>-0.11700000000000001</v>
      </c>
      <c r="J539" s="9">
        <v>12.553000000000001</v>
      </c>
      <c r="K539" s="9">
        <v>-0.248</v>
      </c>
      <c r="L539" s="9">
        <v>0.17799999999999999</v>
      </c>
      <c r="M539" s="11">
        <v>0.28079999999999999</v>
      </c>
      <c r="N539" s="11">
        <v>15.849449999999999</v>
      </c>
      <c r="O539" s="11">
        <v>0.93691000000000002</v>
      </c>
      <c r="P539" s="11">
        <v>17.067160000000001</v>
      </c>
      <c r="Q539" s="7"/>
    </row>
    <row r="540" spans="1:17" ht="12.75" customHeight="1" x14ac:dyDescent="0.35">
      <c r="A540" s="6" t="s">
        <v>130</v>
      </c>
      <c r="B540" s="6" t="s">
        <v>131</v>
      </c>
      <c r="C540" s="7">
        <v>2020</v>
      </c>
      <c r="D540" s="8">
        <v>22</v>
      </c>
      <c r="E540" s="9">
        <v>1.04</v>
      </c>
      <c r="F540" s="9">
        <v>27.777000000000001</v>
      </c>
      <c r="G540" s="17">
        <v>0</v>
      </c>
      <c r="H540" s="9">
        <v>0.66669999999999996</v>
      </c>
      <c r="I540" s="9">
        <v>-1.0999999999999999E-2</v>
      </c>
      <c r="J540" s="9">
        <v>2.13</v>
      </c>
      <c r="K540" s="9">
        <v>-2.3E-2</v>
      </c>
      <c r="L540" s="9">
        <v>0.186</v>
      </c>
      <c r="M540" s="11">
        <v>0.52088000000000001</v>
      </c>
      <c r="N540" s="11">
        <v>14.338089999999999</v>
      </c>
      <c r="O540" s="11">
        <v>0.93025999999999998</v>
      </c>
      <c r="P540" s="11">
        <v>15.78923</v>
      </c>
      <c r="Q540" s="7"/>
    </row>
    <row r="541" spans="1:17" ht="12.75" customHeight="1" x14ac:dyDescent="0.35">
      <c r="A541" s="6" t="s">
        <v>130</v>
      </c>
      <c r="B541" s="6" t="s">
        <v>131</v>
      </c>
      <c r="C541" s="7">
        <v>2021</v>
      </c>
      <c r="D541" s="8">
        <v>23</v>
      </c>
      <c r="E541" s="9">
        <v>0.97399999999999998</v>
      </c>
      <c r="F541" s="9">
        <v>27.638999999999999</v>
      </c>
      <c r="G541" s="17">
        <v>0</v>
      </c>
      <c r="H541" s="9">
        <v>0.66669999999999996</v>
      </c>
      <c r="I541" s="9">
        <v>-6.3E-2</v>
      </c>
      <c r="J541" s="9">
        <v>2.3540000000000001</v>
      </c>
      <c r="K541" s="9">
        <v>-0.124</v>
      </c>
      <c r="L541" s="9">
        <v>0.161</v>
      </c>
      <c r="M541" s="11">
        <v>0.33595999999999998</v>
      </c>
      <c r="N541" s="11">
        <v>10.226190000000001</v>
      </c>
      <c r="O541" s="11">
        <v>0.90220999999999996</v>
      </c>
      <c r="P541" s="11">
        <v>11.464359999999999</v>
      </c>
      <c r="Q541" s="7"/>
    </row>
    <row r="542" spans="1:17" ht="12.75" customHeight="1" x14ac:dyDescent="0.35">
      <c r="A542" s="6" t="s">
        <v>130</v>
      </c>
      <c r="B542" s="6" t="s">
        <v>131</v>
      </c>
      <c r="C542" s="7">
        <v>2022</v>
      </c>
      <c r="D542" s="8">
        <v>24</v>
      </c>
      <c r="E542" s="9">
        <v>1.0429999999999999</v>
      </c>
      <c r="F542" s="9">
        <v>27.625</v>
      </c>
      <c r="G542" s="17">
        <v>0</v>
      </c>
      <c r="H542" s="9">
        <v>0.66669999999999996</v>
      </c>
      <c r="I542" s="9">
        <v>-7.6999999999999999E-2</v>
      </c>
      <c r="J542" s="9">
        <v>2.3969999999999998</v>
      </c>
      <c r="K542" s="9">
        <v>-0.158</v>
      </c>
      <c r="L542" s="9">
        <v>0.17799999999999999</v>
      </c>
      <c r="M542" s="11">
        <v>0.34028999999999998</v>
      </c>
      <c r="N542" s="11">
        <v>13.699339999999999</v>
      </c>
      <c r="O542" s="11">
        <v>0.92700000000000005</v>
      </c>
      <c r="P542" s="11">
        <v>14.96663</v>
      </c>
      <c r="Q542" s="7"/>
    </row>
    <row r="543" spans="1:17" ht="12.75" customHeight="1" x14ac:dyDescent="0.35">
      <c r="A543" s="6" t="s">
        <v>132</v>
      </c>
      <c r="B543" s="6" t="s">
        <v>133</v>
      </c>
      <c r="C543" s="7">
        <v>2018</v>
      </c>
      <c r="D543" s="8">
        <v>11</v>
      </c>
      <c r="E543" s="9">
        <v>1.2170000000000001</v>
      </c>
      <c r="F543" s="9">
        <v>28.645</v>
      </c>
      <c r="G543" s="17">
        <v>0</v>
      </c>
      <c r="H543" s="9">
        <v>0.66669999999999996</v>
      </c>
      <c r="I543" s="9">
        <v>9.1999999999999998E-2</v>
      </c>
      <c r="J543" s="9">
        <v>34.506999999999998</v>
      </c>
      <c r="K543" s="9">
        <v>0.20399999999999999</v>
      </c>
      <c r="L543" s="9">
        <v>0.83</v>
      </c>
      <c r="M543" s="11">
        <v>1.64279</v>
      </c>
      <c r="N543" s="11">
        <v>14.278560000000001</v>
      </c>
      <c r="O543" s="11">
        <v>0.92996000000000001</v>
      </c>
      <c r="P543" s="11">
        <v>16.851310000000002</v>
      </c>
      <c r="Q543" s="7"/>
    </row>
    <row r="544" spans="1:17" ht="12.75" customHeight="1" x14ac:dyDescent="0.35">
      <c r="A544" s="6" t="s">
        <v>132</v>
      </c>
      <c r="B544" s="6" t="s">
        <v>133</v>
      </c>
      <c r="C544" s="7">
        <v>2019</v>
      </c>
      <c r="D544" s="8">
        <v>12</v>
      </c>
      <c r="E544" s="9">
        <v>1.139</v>
      </c>
      <c r="F544" s="9">
        <v>28.754999999999999</v>
      </c>
      <c r="G544" s="17">
        <v>0</v>
      </c>
      <c r="H544" s="9">
        <v>0.66669999999999996</v>
      </c>
      <c r="I544" s="9">
        <v>8.7999999999999995E-2</v>
      </c>
      <c r="J544" s="9">
        <v>11.295999999999999</v>
      </c>
      <c r="K544" s="9">
        <v>0.187</v>
      </c>
      <c r="L544" s="9">
        <v>0.754</v>
      </c>
      <c r="M544" s="11">
        <v>1.57064</v>
      </c>
      <c r="N544" s="11">
        <v>16.204429999999999</v>
      </c>
      <c r="O544" s="11">
        <v>0.93828999999999996</v>
      </c>
      <c r="P544" s="11">
        <v>18.713360000000002</v>
      </c>
      <c r="Q544" s="7"/>
    </row>
    <row r="545" spans="1:17" ht="12.75" customHeight="1" x14ac:dyDescent="0.35">
      <c r="A545" s="6" t="s">
        <v>132</v>
      </c>
      <c r="B545" s="6" t="s">
        <v>133</v>
      </c>
      <c r="C545" s="7">
        <v>2020</v>
      </c>
      <c r="D545" s="8">
        <v>13</v>
      </c>
      <c r="E545" s="9">
        <v>0.92300000000000004</v>
      </c>
      <c r="F545" s="9">
        <v>28.643000000000001</v>
      </c>
      <c r="G545" s="17">
        <v>0</v>
      </c>
      <c r="H545" s="9">
        <v>0.66669999999999996</v>
      </c>
      <c r="I545" s="9">
        <v>2.1000000000000001E-2</v>
      </c>
      <c r="J545" s="9">
        <v>13.196999999999999</v>
      </c>
      <c r="K545" s="9">
        <v>0.04</v>
      </c>
      <c r="L545" s="9">
        <v>0.60799999999999998</v>
      </c>
      <c r="M545" s="11">
        <v>1.3597900000000001</v>
      </c>
      <c r="N545" s="11">
        <v>13.02289</v>
      </c>
      <c r="O545" s="11">
        <v>0.92320999999999998</v>
      </c>
      <c r="P545" s="11">
        <v>15.30589</v>
      </c>
      <c r="Q545" s="7"/>
    </row>
    <row r="546" spans="1:17" ht="12.75" customHeight="1" x14ac:dyDescent="0.35">
      <c r="A546" s="6" t="s">
        <v>132</v>
      </c>
      <c r="B546" s="6" t="s">
        <v>133</v>
      </c>
      <c r="C546" s="7">
        <v>2021</v>
      </c>
      <c r="D546" s="8">
        <v>14</v>
      </c>
      <c r="E546" s="9">
        <v>0.84899999999999998</v>
      </c>
      <c r="F546" s="9">
        <v>28.677</v>
      </c>
      <c r="G546" s="17">
        <v>0</v>
      </c>
      <c r="H546" s="9">
        <v>0.66669999999999996</v>
      </c>
      <c r="I546" s="9">
        <v>0.03</v>
      </c>
      <c r="J546" s="9">
        <v>18.106999999999999</v>
      </c>
      <c r="K546" s="9">
        <v>5.5E-2</v>
      </c>
      <c r="L546" s="9">
        <v>0.58699999999999997</v>
      </c>
      <c r="M546" s="11">
        <v>1.0665800000000001</v>
      </c>
      <c r="N546" s="11">
        <v>12.04571</v>
      </c>
      <c r="O546" s="11">
        <v>0.91698000000000002</v>
      </c>
      <c r="P546" s="11">
        <v>14.02927</v>
      </c>
      <c r="Q546" s="7"/>
    </row>
    <row r="547" spans="1:17" ht="12.75" customHeight="1" x14ac:dyDescent="0.35">
      <c r="A547" s="6" t="s">
        <v>132</v>
      </c>
      <c r="B547" s="6" t="s">
        <v>133</v>
      </c>
      <c r="C547" s="7">
        <v>2022</v>
      </c>
      <c r="D547" s="8">
        <v>15</v>
      </c>
      <c r="E547" s="9">
        <v>0.70499999999999996</v>
      </c>
      <c r="F547" s="9">
        <v>28.664000000000001</v>
      </c>
      <c r="G547" s="17">
        <v>0</v>
      </c>
      <c r="H547" s="9">
        <v>0.66669999999999996</v>
      </c>
      <c r="I547" s="9">
        <v>4.1000000000000002E-2</v>
      </c>
      <c r="J547" s="9">
        <v>14.56</v>
      </c>
      <c r="K547" s="9">
        <v>7.0000000000000007E-2</v>
      </c>
      <c r="L547" s="9">
        <v>0.626</v>
      </c>
      <c r="M547" s="11">
        <v>0.98353000000000002</v>
      </c>
      <c r="N547" s="11">
        <v>12.446949999999999</v>
      </c>
      <c r="O547" s="11">
        <v>0.91966000000000003</v>
      </c>
      <c r="P547" s="11">
        <v>14.35014</v>
      </c>
      <c r="Q547" s="7"/>
    </row>
    <row r="548" spans="1:17" ht="12.75" customHeight="1" x14ac:dyDescent="0.35">
      <c r="A548" s="6" t="s">
        <v>134</v>
      </c>
      <c r="B548" s="6" t="s">
        <v>135</v>
      </c>
      <c r="C548" s="7">
        <v>2019</v>
      </c>
      <c r="D548" s="8">
        <v>11</v>
      </c>
      <c r="E548" s="9">
        <v>0.36299999999999999</v>
      </c>
      <c r="F548" s="9">
        <v>27.524000000000001</v>
      </c>
      <c r="G548" s="17">
        <v>0</v>
      </c>
      <c r="H548" s="9">
        <v>0.66669999999999996</v>
      </c>
      <c r="I548" s="9">
        <v>5.0999999999999997E-2</v>
      </c>
      <c r="J548" s="9">
        <v>2.8889999999999998</v>
      </c>
      <c r="K548" s="9">
        <v>7.0000000000000007E-2</v>
      </c>
      <c r="L548" s="9">
        <v>0.42299999999999999</v>
      </c>
      <c r="M548" s="11">
        <v>0.12669</v>
      </c>
      <c r="N548" s="11">
        <v>9.4863300000000006</v>
      </c>
      <c r="O548" s="11">
        <v>0.89459</v>
      </c>
      <c r="P548" s="11">
        <v>10.50761</v>
      </c>
      <c r="Q548" s="7"/>
    </row>
    <row r="549" spans="1:17" ht="12.75" customHeight="1" x14ac:dyDescent="0.35">
      <c r="A549" s="6" t="s">
        <v>134</v>
      </c>
      <c r="B549" s="6" t="s">
        <v>135</v>
      </c>
      <c r="C549" s="7">
        <v>2020</v>
      </c>
      <c r="D549" s="8">
        <v>12</v>
      </c>
      <c r="E549" s="9">
        <v>0.27300000000000002</v>
      </c>
      <c r="F549" s="9">
        <v>27.45</v>
      </c>
      <c r="G549" s="17">
        <v>0</v>
      </c>
      <c r="H549" s="9">
        <v>0.66669999999999996</v>
      </c>
      <c r="I549" s="9">
        <v>-3.0000000000000001E-3</v>
      </c>
      <c r="J549" s="9">
        <v>1.0309999999999999</v>
      </c>
      <c r="K549" s="9">
        <v>-4.0000000000000001E-3</v>
      </c>
      <c r="L549" s="9">
        <v>0.23699999999999999</v>
      </c>
      <c r="M549" s="11">
        <v>0.43975999999999998</v>
      </c>
      <c r="N549" s="11">
        <v>16.645389999999999</v>
      </c>
      <c r="O549" s="11">
        <v>0.93991999999999998</v>
      </c>
      <c r="P549" s="11">
        <v>18.025069999999999</v>
      </c>
      <c r="Q549" s="7"/>
    </row>
    <row r="550" spans="1:17" ht="12.75" customHeight="1" x14ac:dyDescent="0.35">
      <c r="A550" s="6" t="s">
        <v>134</v>
      </c>
      <c r="B550" s="6" t="s">
        <v>135</v>
      </c>
      <c r="C550" s="7">
        <v>2021</v>
      </c>
      <c r="D550" s="8">
        <v>13</v>
      </c>
      <c r="E550" s="9">
        <v>0.215</v>
      </c>
      <c r="F550" s="9">
        <v>27.62</v>
      </c>
      <c r="G550" s="17">
        <v>0</v>
      </c>
      <c r="H550" s="9">
        <v>0.66669999999999996</v>
      </c>
      <c r="I550" s="9">
        <v>0.16700000000000001</v>
      </c>
      <c r="J550" s="9">
        <v>1.028</v>
      </c>
      <c r="K550" s="9">
        <v>0.20300000000000001</v>
      </c>
      <c r="L550" s="9">
        <v>0.45300000000000001</v>
      </c>
      <c r="M550" s="11">
        <v>0.28634999999999999</v>
      </c>
      <c r="N550" s="11">
        <v>10.701140000000001</v>
      </c>
      <c r="O550" s="11">
        <v>0.90654999999999997</v>
      </c>
      <c r="P550" s="11">
        <v>11.89404</v>
      </c>
      <c r="Q550" s="7"/>
    </row>
    <row r="551" spans="1:17" ht="12.75" customHeight="1" x14ac:dyDescent="0.35">
      <c r="A551" s="6" t="s">
        <v>134</v>
      </c>
      <c r="B551" s="6" t="s">
        <v>135</v>
      </c>
      <c r="C551" s="7">
        <v>2022</v>
      </c>
      <c r="D551" s="8">
        <v>14</v>
      </c>
      <c r="E551" s="9">
        <v>0.23499999999999999</v>
      </c>
      <c r="F551" s="9">
        <v>27.895</v>
      </c>
      <c r="G551" s="17">
        <v>0</v>
      </c>
      <c r="H551" s="9">
        <v>0.66669999999999996</v>
      </c>
      <c r="I551" s="9">
        <v>0.252</v>
      </c>
      <c r="J551" s="9">
        <v>1.0289999999999999</v>
      </c>
      <c r="K551" s="9">
        <v>0.311</v>
      </c>
      <c r="L551" s="9">
        <v>0.6</v>
      </c>
      <c r="M551" s="11">
        <v>0.30132999999999999</v>
      </c>
      <c r="N551" s="11">
        <v>13.44411</v>
      </c>
      <c r="O551" s="11">
        <v>0.92562</v>
      </c>
      <c r="P551" s="11">
        <v>14.671060000000001</v>
      </c>
      <c r="Q551" s="7"/>
    </row>
    <row r="552" spans="1:17" ht="12.75" customHeight="1" x14ac:dyDescent="0.35">
      <c r="A552" s="6" t="s">
        <v>136</v>
      </c>
      <c r="B552" s="6" t="s">
        <v>137</v>
      </c>
      <c r="C552" s="7">
        <v>2017</v>
      </c>
      <c r="D552" s="8">
        <f t="shared" ref="D552" si="88">D553-1</f>
        <v>10</v>
      </c>
      <c r="E552" s="9">
        <v>0.99278999999999995</v>
      </c>
      <c r="F552" s="9">
        <v>29.182700000000001</v>
      </c>
      <c r="G552" s="10">
        <v>1</v>
      </c>
      <c r="H552" s="9">
        <v>0.66666666666666663</v>
      </c>
      <c r="I552" s="9">
        <v>6.1600000000000002E-2</v>
      </c>
      <c r="J552" s="9">
        <v>4.1565700000000003</v>
      </c>
      <c r="K552" s="9">
        <v>0.1227</v>
      </c>
      <c r="L552" s="9">
        <v>0.89200000000000002</v>
      </c>
      <c r="M552" s="11">
        <v>1.6642699999999999</v>
      </c>
      <c r="N552" s="11">
        <v>11.412140000000001</v>
      </c>
      <c r="O552" s="11">
        <v>0.91237000000000001</v>
      </c>
      <c r="P552" s="11">
        <v>13.98879</v>
      </c>
      <c r="Q552" s="7"/>
    </row>
    <row r="553" spans="1:17" ht="12.75" customHeight="1" x14ac:dyDescent="0.35">
      <c r="A553" s="6" t="s">
        <v>136</v>
      </c>
      <c r="B553" s="6" t="s">
        <v>137</v>
      </c>
      <c r="C553" s="7">
        <v>2018</v>
      </c>
      <c r="D553" s="8">
        <v>11</v>
      </c>
      <c r="E553" s="9">
        <v>1.3280000000000001</v>
      </c>
      <c r="F553" s="9">
        <v>29.632999999999999</v>
      </c>
      <c r="G553" s="17">
        <v>0</v>
      </c>
      <c r="H553" s="9">
        <v>0.66669999999999996</v>
      </c>
      <c r="I553" s="9">
        <v>7.4999999999999997E-2</v>
      </c>
      <c r="J553" s="9">
        <v>2.4260000000000002</v>
      </c>
      <c r="K553" s="9">
        <v>0.17499999999999999</v>
      </c>
      <c r="L553" s="9">
        <v>0.874</v>
      </c>
      <c r="M553" s="11">
        <v>1.5372699999999999</v>
      </c>
      <c r="N553" s="11">
        <v>10.2928</v>
      </c>
      <c r="O553" s="11">
        <v>0.90283999999999998</v>
      </c>
      <c r="P553" s="11">
        <v>12.73291</v>
      </c>
      <c r="Q553" s="7"/>
    </row>
    <row r="554" spans="1:17" ht="12.75" customHeight="1" x14ac:dyDescent="0.35">
      <c r="A554" s="6" t="s">
        <v>136</v>
      </c>
      <c r="B554" s="6" t="s">
        <v>137</v>
      </c>
      <c r="C554" s="7">
        <v>2019</v>
      </c>
      <c r="D554" s="8">
        <v>12</v>
      </c>
      <c r="E554" s="9">
        <v>1.403</v>
      </c>
      <c r="F554" s="9">
        <v>29.808</v>
      </c>
      <c r="G554" s="17">
        <v>0</v>
      </c>
      <c r="H554" s="9">
        <v>0.66669999999999996</v>
      </c>
      <c r="I554" s="9">
        <v>6.9000000000000006E-2</v>
      </c>
      <c r="J554" s="9">
        <v>0.91100000000000003</v>
      </c>
      <c r="K554" s="9">
        <v>0.16600000000000001</v>
      </c>
      <c r="L554" s="9">
        <v>0.82799999999999996</v>
      </c>
      <c r="M554" s="11">
        <v>1.7323599999999999</v>
      </c>
      <c r="N554" s="11">
        <v>13.36355</v>
      </c>
      <c r="O554" s="11">
        <v>0.92517000000000005</v>
      </c>
      <c r="P554" s="11">
        <v>16.021080000000001</v>
      </c>
      <c r="Q554" s="7"/>
    </row>
    <row r="555" spans="1:17" ht="12.75" customHeight="1" x14ac:dyDescent="0.35">
      <c r="A555" s="6" t="s">
        <v>136</v>
      </c>
      <c r="B555" s="6" t="s">
        <v>137</v>
      </c>
      <c r="C555" s="7">
        <v>2020</v>
      </c>
      <c r="D555" s="8">
        <v>13</v>
      </c>
      <c r="E555" s="9">
        <v>1.653</v>
      </c>
      <c r="F555" s="9">
        <v>30.018999999999998</v>
      </c>
      <c r="G555" s="17">
        <v>1</v>
      </c>
      <c r="H555" s="9">
        <v>0.66669999999999996</v>
      </c>
      <c r="I555" s="9">
        <v>4.5999999999999999E-2</v>
      </c>
      <c r="J555" s="9">
        <v>1.008</v>
      </c>
      <c r="K555" s="9">
        <v>0.123</v>
      </c>
      <c r="L555" s="9">
        <v>0.43</v>
      </c>
      <c r="M555" s="11">
        <v>1.67703</v>
      </c>
      <c r="N555" s="11">
        <v>22.790109999999999</v>
      </c>
      <c r="O555" s="11">
        <v>0.95611999999999997</v>
      </c>
      <c r="P555" s="11">
        <v>25.423259999999999</v>
      </c>
      <c r="Q555" s="7"/>
    </row>
    <row r="556" spans="1:17" ht="12.75" customHeight="1" x14ac:dyDescent="0.35">
      <c r="A556" s="6" t="s">
        <v>136</v>
      </c>
      <c r="B556" s="6" t="s">
        <v>137</v>
      </c>
      <c r="C556" s="7">
        <v>2021</v>
      </c>
      <c r="D556" s="8">
        <v>14</v>
      </c>
      <c r="E556" s="9">
        <v>1.4219999999999999</v>
      </c>
      <c r="F556" s="9">
        <v>30.135999999999999</v>
      </c>
      <c r="G556" s="17">
        <v>1</v>
      </c>
      <c r="H556" s="9">
        <v>0.66669999999999996</v>
      </c>
      <c r="I556" s="9">
        <v>7.5999999999999998E-2</v>
      </c>
      <c r="J556" s="9">
        <v>1.3120000000000001</v>
      </c>
      <c r="K556" s="9">
        <v>0.185</v>
      </c>
      <c r="L556" s="9">
        <v>0.53900000000000003</v>
      </c>
      <c r="M556" s="11">
        <v>0.94313999999999998</v>
      </c>
      <c r="N556" s="11">
        <v>16.449179999999998</v>
      </c>
      <c r="O556" s="11">
        <v>0.93920999999999999</v>
      </c>
      <c r="P556" s="11">
        <v>18.331520000000001</v>
      </c>
      <c r="Q556" s="7"/>
    </row>
    <row r="557" spans="1:17" ht="12.75" customHeight="1" x14ac:dyDescent="0.35">
      <c r="A557" s="6" t="s">
        <v>136</v>
      </c>
      <c r="B557" s="6" t="s">
        <v>137</v>
      </c>
      <c r="C557" s="7">
        <v>2022</v>
      </c>
      <c r="D557" s="8">
        <v>15</v>
      </c>
      <c r="E557" s="9">
        <v>1.123</v>
      </c>
      <c r="F557" s="9">
        <v>30.280999999999999</v>
      </c>
      <c r="G557" s="17">
        <v>1</v>
      </c>
      <c r="H557" s="9">
        <v>0.66669999999999996</v>
      </c>
      <c r="I557" s="9">
        <v>0.104</v>
      </c>
      <c r="J557" s="9">
        <v>0.874</v>
      </c>
      <c r="K557" s="9">
        <v>0.222</v>
      </c>
      <c r="L557" s="9">
        <v>0.70699999999999996</v>
      </c>
      <c r="M557" s="11">
        <v>0.96958</v>
      </c>
      <c r="N557" s="11">
        <v>24.244679999999999</v>
      </c>
      <c r="O557" s="11">
        <v>0.95874999999999999</v>
      </c>
      <c r="P557" s="11">
        <v>26.173020000000001</v>
      </c>
      <c r="Q557" s="7"/>
    </row>
    <row r="558" spans="1:17" ht="12.75" customHeight="1" x14ac:dyDescent="0.35">
      <c r="A558" s="6" t="s">
        <v>138</v>
      </c>
      <c r="B558" s="6" t="s">
        <v>139</v>
      </c>
      <c r="C558" s="7">
        <v>2013</v>
      </c>
      <c r="D558" s="8">
        <f t="shared" ref="D558:D562" si="89">D559-1</f>
        <v>8</v>
      </c>
      <c r="E558" s="9">
        <v>1.44207</v>
      </c>
      <c r="F558" s="9">
        <v>27.9329</v>
      </c>
      <c r="G558" s="10">
        <v>0</v>
      </c>
      <c r="H558" s="9">
        <f t="shared" ref="H558:H560" si="90">H559</f>
        <v>0.66666666666666663</v>
      </c>
      <c r="I558" s="9">
        <v>6.2E-2</v>
      </c>
      <c r="J558" s="9">
        <v>2.49743</v>
      </c>
      <c r="K558" s="9">
        <v>0.15129999999999999</v>
      </c>
      <c r="L558" s="9">
        <v>0.45490000000000003</v>
      </c>
      <c r="M558" s="11">
        <v>1.0567</v>
      </c>
      <c r="N558" s="11">
        <v>20.787320000000001</v>
      </c>
      <c r="O558" s="11">
        <v>0.95189000000000001</v>
      </c>
      <c r="P558" s="11">
        <v>22.795909999999999</v>
      </c>
      <c r="Q558" s="7"/>
    </row>
    <row r="559" spans="1:17" ht="12.75" customHeight="1" x14ac:dyDescent="0.35">
      <c r="A559" s="6" t="s">
        <v>138</v>
      </c>
      <c r="B559" s="6" t="s">
        <v>139</v>
      </c>
      <c r="C559" s="7">
        <v>2014</v>
      </c>
      <c r="D559" s="8">
        <f t="shared" si="89"/>
        <v>9</v>
      </c>
      <c r="E559" s="9">
        <v>1.1709099999999999</v>
      </c>
      <c r="F559" s="9">
        <v>28.1114</v>
      </c>
      <c r="G559" s="10">
        <v>0</v>
      </c>
      <c r="H559" s="9">
        <f t="shared" si="90"/>
        <v>0.66666666666666663</v>
      </c>
      <c r="I559" s="9">
        <v>8.8200000000000001E-2</v>
      </c>
      <c r="J559" s="9">
        <v>3.0374400000000001</v>
      </c>
      <c r="K559" s="9">
        <v>0.19139999999999999</v>
      </c>
      <c r="L559" s="9">
        <v>0.53290000000000004</v>
      </c>
      <c r="M559" s="11">
        <v>0.86365000000000003</v>
      </c>
      <c r="N559" s="11">
        <v>14.486230000000001</v>
      </c>
      <c r="O559" s="11">
        <v>0.93096999999999996</v>
      </c>
      <c r="P559" s="11">
        <v>16.280850000000001</v>
      </c>
      <c r="Q559" s="7"/>
    </row>
    <row r="560" spans="1:17" ht="12.75" customHeight="1" x14ac:dyDescent="0.35">
      <c r="A560" s="6" t="s">
        <v>138</v>
      </c>
      <c r="B560" s="6" t="s">
        <v>139</v>
      </c>
      <c r="C560" s="7">
        <v>2015</v>
      </c>
      <c r="D560" s="8">
        <f t="shared" si="89"/>
        <v>10</v>
      </c>
      <c r="E560" s="9">
        <v>1.0248600000000001</v>
      </c>
      <c r="F560" s="9">
        <v>28.1936</v>
      </c>
      <c r="G560" s="10">
        <v>0</v>
      </c>
      <c r="H560" s="9">
        <f t="shared" si="90"/>
        <v>0.66666666666666663</v>
      </c>
      <c r="I560" s="9">
        <v>1.49E-2</v>
      </c>
      <c r="J560" s="9">
        <v>1.7869200000000001</v>
      </c>
      <c r="K560" s="9">
        <v>3.0200000000000001E-2</v>
      </c>
      <c r="L560" s="9">
        <v>0.38450000000000001</v>
      </c>
      <c r="M560" s="11">
        <v>0.87278</v>
      </c>
      <c r="N560" s="11">
        <v>15.52312</v>
      </c>
      <c r="O560" s="11">
        <v>0.93557999999999997</v>
      </c>
      <c r="P560" s="11">
        <v>17.331479999999999</v>
      </c>
      <c r="Q560" s="7"/>
    </row>
    <row r="561" spans="1:17" ht="12.75" customHeight="1" x14ac:dyDescent="0.35">
      <c r="A561" s="6" t="s">
        <v>138</v>
      </c>
      <c r="B561" s="6" t="s">
        <v>139</v>
      </c>
      <c r="C561" s="7">
        <v>2016</v>
      </c>
      <c r="D561" s="8">
        <f t="shared" si="89"/>
        <v>11</v>
      </c>
      <c r="E561" s="9">
        <v>0.82999000000000001</v>
      </c>
      <c r="F561" s="9">
        <v>28.109200000000001</v>
      </c>
      <c r="G561" s="10">
        <v>0</v>
      </c>
      <c r="H561" s="9">
        <v>0.66666666666666663</v>
      </c>
      <c r="I561" s="9">
        <v>1.24E-2</v>
      </c>
      <c r="J561" s="9">
        <v>2.3418999999999999</v>
      </c>
      <c r="K561" s="9">
        <v>2.2700000000000001E-2</v>
      </c>
      <c r="L561" s="9">
        <v>0.2737</v>
      </c>
      <c r="M561" s="11">
        <v>0.67313000000000001</v>
      </c>
      <c r="N561" s="11">
        <v>12.022629999999999</v>
      </c>
      <c r="O561" s="11">
        <v>0.91681999999999997</v>
      </c>
      <c r="P561" s="11">
        <v>13.612590000000001</v>
      </c>
      <c r="Q561" s="7"/>
    </row>
    <row r="562" spans="1:17" ht="12.75" customHeight="1" x14ac:dyDescent="0.35">
      <c r="A562" s="6" t="s">
        <v>138</v>
      </c>
      <c r="B562" s="6" t="s">
        <v>139</v>
      </c>
      <c r="C562" s="7">
        <v>2017</v>
      </c>
      <c r="D562" s="8">
        <f t="shared" si="89"/>
        <v>12</v>
      </c>
      <c r="E562" s="9">
        <v>0.63849</v>
      </c>
      <c r="F562" s="9">
        <v>28.0746</v>
      </c>
      <c r="G562" s="10">
        <v>0</v>
      </c>
      <c r="H562" s="9">
        <v>0.66666666666666663</v>
      </c>
      <c r="I562" s="9">
        <v>4.2599999999999999E-2</v>
      </c>
      <c r="J562" s="9">
        <v>2.7076799999999999</v>
      </c>
      <c r="K562" s="9">
        <v>6.9800000000000001E-2</v>
      </c>
      <c r="L562" s="9">
        <v>0.32790000000000002</v>
      </c>
      <c r="M562" s="11">
        <v>0.44486999999999999</v>
      </c>
      <c r="N562" s="11">
        <v>8.3665500000000002</v>
      </c>
      <c r="O562" s="11">
        <v>0.88048000000000004</v>
      </c>
      <c r="P562" s="11">
        <v>9.6919000000000004</v>
      </c>
      <c r="Q562" s="7"/>
    </row>
    <row r="563" spans="1:17" ht="12.75" customHeight="1" x14ac:dyDescent="0.35">
      <c r="A563" s="6" t="s">
        <v>138</v>
      </c>
      <c r="B563" s="6" t="s">
        <v>139</v>
      </c>
      <c r="C563" s="7">
        <v>2018</v>
      </c>
      <c r="D563" s="8">
        <v>13</v>
      </c>
      <c r="E563" s="9">
        <v>0.47399999999999998</v>
      </c>
      <c r="F563" s="9">
        <v>28.128</v>
      </c>
      <c r="G563" s="17">
        <v>0</v>
      </c>
      <c r="H563" s="9">
        <v>0.66669999999999996</v>
      </c>
      <c r="I563" s="9">
        <v>6.8000000000000005E-2</v>
      </c>
      <c r="J563" s="9">
        <v>7.96</v>
      </c>
      <c r="K563" s="9">
        <v>0.10100000000000001</v>
      </c>
      <c r="L563" s="9">
        <v>0.39400000000000002</v>
      </c>
      <c r="M563" s="11">
        <v>0.45167000000000002</v>
      </c>
      <c r="N563" s="11">
        <v>8.3483400000000003</v>
      </c>
      <c r="O563" s="11">
        <v>0.88022</v>
      </c>
      <c r="P563" s="11">
        <v>9.6802200000000003</v>
      </c>
      <c r="Q563" s="7"/>
    </row>
    <row r="564" spans="1:17" ht="12.75" customHeight="1" x14ac:dyDescent="0.35">
      <c r="A564" s="6" t="s">
        <v>138</v>
      </c>
      <c r="B564" s="6" t="s">
        <v>139</v>
      </c>
      <c r="C564" s="7">
        <v>2019</v>
      </c>
      <c r="D564" s="8">
        <v>14</v>
      </c>
      <c r="E564" s="9">
        <v>0.41199999999999998</v>
      </c>
      <c r="F564" s="9">
        <v>28.07</v>
      </c>
      <c r="G564" s="17">
        <v>0</v>
      </c>
      <c r="H564" s="9">
        <v>0.66669999999999996</v>
      </c>
      <c r="I564" s="9">
        <v>7.3999999999999996E-2</v>
      </c>
      <c r="J564" s="9">
        <v>0.72299999999999998</v>
      </c>
      <c r="K564" s="9">
        <v>0.104</v>
      </c>
      <c r="L564" s="9">
        <v>0.42699999999999999</v>
      </c>
      <c r="M564" s="11">
        <v>0.47126000000000001</v>
      </c>
      <c r="N564" s="11">
        <v>9.1044699999999992</v>
      </c>
      <c r="O564" s="11">
        <v>0.89015999999999995</v>
      </c>
      <c r="P564" s="11">
        <v>10.4659</v>
      </c>
      <c r="Q564" s="7"/>
    </row>
    <row r="565" spans="1:17" ht="12.75" customHeight="1" x14ac:dyDescent="0.35">
      <c r="A565" s="6" t="s">
        <v>138</v>
      </c>
      <c r="B565" s="6" t="s">
        <v>139</v>
      </c>
      <c r="C565" s="7">
        <v>2020</v>
      </c>
      <c r="D565" s="8">
        <v>15</v>
      </c>
      <c r="E565" s="9">
        <v>0.34699999999999998</v>
      </c>
      <c r="F565" s="9">
        <v>28.012</v>
      </c>
      <c r="G565" s="17">
        <v>0</v>
      </c>
      <c r="H565" s="9">
        <v>0.66669999999999996</v>
      </c>
      <c r="I565" s="9">
        <v>0.02</v>
      </c>
      <c r="J565" s="9">
        <v>0.88800000000000001</v>
      </c>
      <c r="K565" s="9">
        <v>2.7E-2</v>
      </c>
      <c r="L565" s="9">
        <v>0.38300000000000001</v>
      </c>
      <c r="M565" s="11">
        <v>0.49936000000000003</v>
      </c>
      <c r="N565" s="11">
        <v>10.08653</v>
      </c>
      <c r="O565" s="11">
        <v>0.90085999999999999</v>
      </c>
      <c r="P565" s="11">
        <v>11.486739999999999</v>
      </c>
      <c r="Q565" s="7"/>
    </row>
    <row r="566" spans="1:17" ht="12.75" customHeight="1" x14ac:dyDescent="0.35">
      <c r="A566" s="6" t="s">
        <v>138</v>
      </c>
      <c r="B566" s="6" t="s">
        <v>139</v>
      </c>
      <c r="C566" s="7">
        <v>2021</v>
      </c>
      <c r="D566" s="8">
        <v>16</v>
      </c>
      <c r="E566" s="9">
        <v>0.28799999999999998</v>
      </c>
      <c r="F566" s="9">
        <v>27.978999999999999</v>
      </c>
      <c r="G566" s="17">
        <v>0</v>
      </c>
      <c r="H566" s="9">
        <v>0.66669999999999996</v>
      </c>
      <c r="I566" s="9">
        <v>0.04</v>
      </c>
      <c r="J566" s="9">
        <v>0.94499999999999995</v>
      </c>
      <c r="K566" s="9">
        <v>5.0999999999999997E-2</v>
      </c>
      <c r="L566" s="9">
        <v>0.42299999999999999</v>
      </c>
      <c r="M566" s="11">
        <v>0.50344</v>
      </c>
      <c r="N566" s="11">
        <v>9.3730100000000007</v>
      </c>
      <c r="O566" s="11">
        <v>0.89331000000000005</v>
      </c>
      <c r="P566" s="11">
        <v>10.76976</v>
      </c>
      <c r="Q566" s="7"/>
    </row>
    <row r="567" spans="1:17" ht="12.75" customHeight="1" x14ac:dyDescent="0.35">
      <c r="A567" s="6" t="s">
        <v>138</v>
      </c>
      <c r="B567" s="6" t="s">
        <v>139</v>
      </c>
      <c r="C567" s="7">
        <v>2022</v>
      </c>
      <c r="D567" s="8">
        <v>17</v>
      </c>
      <c r="E567" s="9">
        <v>0.20899999999999999</v>
      </c>
      <c r="F567" s="9">
        <v>28.155000000000001</v>
      </c>
      <c r="G567" s="17">
        <v>0</v>
      </c>
      <c r="H567" s="9">
        <v>0.66669999999999996</v>
      </c>
      <c r="I567" s="9">
        <v>0.13300000000000001</v>
      </c>
      <c r="J567" s="9">
        <v>0.89300000000000002</v>
      </c>
      <c r="K567" s="9">
        <v>0.161</v>
      </c>
      <c r="L567" s="9">
        <v>0.58499999999999996</v>
      </c>
      <c r="M567" s="11">
        <v>0.52064999999999995</v>
      </c>
      <c r="N567" s="11">
        <v>9.4276700000000009</v>
      </c>
      <c r="O567" s="11">
        <v>0.89393</v>
      </c>
      <c r="P567" s="11">
        <v>10.84225</v>
      </c>
      <c r="Q567" s="7"/>
    </row>
    <row r="568" spans="1:17" ht="12.75" customHeight="1" x14ac:dyDescent="0.35">
      <c r="A568" s="6" t="s">
        <v>140</v>
      </c>
      <c r="B568" s="6" t="s">
        <v>141</v>
      </c>
      <c r="C568" s="7">
        <v>2012</v>
      </c>
      <c r="D568" s="8">
        <f t="shared" ref="D568:D573" si="91">D569-1</f>
        <v>14</v>
      </c>
      <c r="E568" s="9">
        <v>1.48543</v>
      </c>
      <c r="F568" s="9">
        <v>28.805199999999999</v>
      </c>
      <c r="G568" s="10">
        <v>1</v>
      </c>
      <c r="H568" s="9">
        <f t="shared" ref="H568:H571" si="92">H569</f>
        <v>0.66666666666666663</v>
      </c>
      <c r="I568" s="9">
        <v>-9.5500000000000002E-2</v>
      </c>
      <c r="J568" s="9">
        <v>1.0241899999999999</v>
      </c>
      <c r="K568" s="9">
        <v>-0.2374</v>
      </c>
      <c r="L568" s="9">
        <v>0.16200000000000001</v>
      </c>
      <c r="M568" s="11">
        <v>0.56903000000000004</v>
      </c>
      <c r="N568" s="11">
        <v>10.70472</v>
      </c>
      <c r="O568" s="11">
        <v>0.90658000000000005</v>
      </c>
      <c r="P568" s="11">
        <v>12.180339999999999</v>
      </c>
      <c r="Q568" s="7"/>
    </row>
    <row r="569" spans="1:17" ht="12.75" customHeight="1" x14ac:dyDescent="0.35">
      <c r="A569" s="6" t="s">
        <v>140</v>
      </c>
      <c r="B569" s="6" t="s">
        <v>141</v>
      </c>
      <c r="C569" s="7">
        <v>2013</v>
      </c>
      <c r="D569" s="8">
        <f t="shared" si="91"/>
        <v>15</v>
      </c>
      <c r="E569" s="9">
        <v>1.2972699999999999</v>
      </c>
      <c r="F569" s="9">
        <v>28.991299999999999</v>
      </c>
      <c r="G569" s="10">
        <v>1</v>
      </c>
      <c r="H569" s="9">
        <f t="shared" si="92"/>
        <v>0.66666666666666663</v>
      </c>
      <c r="I569" s="9">
        <v>5.1000000000000004E-3</v>
      </c>
      <c r="J569" s="9">
        <v>1.0542800000000001</v>
      </c>
      <c r="K569" s="9">
        <v>1.17E-2</v>
      </c>
      <c r="L569" s="9">
        <v>0.19769999999999999</v>
      </c>
      <c r="M569" s="11">
        <v>0.56784000000000001</v>
      </c>
      <c r="N569" s="11">
        <v>7.5739999999999998</v>
      </c>
      <c r="O569" s="11">
        <v>0.86797000000000002</v>
      </c>
      <c r="P569" s="11">
        <v>9.0098000000000003</v>
      </c>
      <c r="Q569" s="7"/>
    </row>
    <row r="570" spans="1:17" ht="12.75" customHeight="1" x14ac:dyDescent="0.35">
      <c r="A570" s="6" t="s">
        <v>140</v>
      </c>
      <c r="B570" s="6" t="s">
        <v>141</v>
      </c>
      <c r="C570" s="7">
        <v>2014</v>
      </c>
      <c r="D570" s="8">
        <f t="shared" si="91"/>
        <v>16</v>
      </c>
      <c r="E570" s="9">
        <v>1.7139200000000001</v>
      </c>
      <c r="F570" s="9">
        <v>28.897500000000001</v>
      </c>
      <c r="G570" s="10">
        <v>0</v>
      </c>
      <c r="H570" s="9">
        <f t="shared" si="92"/>
        <v>0.66666666666666663</v>
      </c>
      <c r="I570" s="9">
        <v>-0.11700000000000001</v>
      </c>
      <c r="J570" s="9">
        <v>0.70289000000000001</v>
      </c>
      <c r="K570" s="9">
        <v>-0.3175</v>
      </c>
      <c r="L570" s="9">
        <v>0.21010000000000001</v>
      </c>
      <c r="M570" s="11">
        <v>0.34123999999999999</v>
      </c>
      <c r="N570" s="11">
        <v>7.0545999999999998</v>
      </c>
      <c r="O570" s="11">
        <v>0.85824999999999996</v>
      </c>
      <c r="P570" s="11">
        <v>8.2540800000000001</v>
      </c>
      <c r="Q570" s="7"/>
    </row>
    <row r="571" spans="1:17" ht="12.75" customHeight="1" x14ac:dyDescent="0.35">
      <c r="A571" s="6" t="s">
        <v>140</v>
      </c>
      <c r="B571" s="6" t="s">
        <v>141</v>
      </c>
      <c r="C571" s="7">
        <v>2015</v>
      </c>
      <c r="D571" s="8">
        <f t="shared" si="91"/>
        <v>17</v>
      </c>
      <c r="E571" s="9">
        <v>6.1099500000000004</v>
      </c>
      <c r="F571" s="9">
        <v>28.672699999999999</v>
      </c>
      <c r="G571" s="10">
        <v>0</v>
      </c>
      <c r="H571" s="9">
        <f t="shared" si="92"/>
        <v>0.66666666666666663</v>
      </c>
      <c r="I571" s="9">
        <v>-0.33689999999999998</v>
      </c>
      <c r="J571" s="9">
        <v>0.88051999999999997</v>
      </c>
      <c r="K571" s="9">
        <v>-2.3952</v>
      </c>
      <c r="L571" s="9">
        <v>0.1643</v>
      </c>
      <c r="M571" s="11">
        <v>0.73104999999999998</v>
      </c>
      <c r="N571" s="11">
        <v>11.553839999999999</v>
      </c>
      <c r="O571" s="11">
        <v>0.91344999999999998</v>
      </c>
      <c r="P571" s="11">
        <v>13.19833</v>
      </c>
      <c r="Q571" s="7"/>
    </row>
    <row r="572" spans="1:17" ht="12.75" customHeight="1" x14ac:dyDescent="0.35">
      <c r="A572" s="6" t="s">
        <v>140</v>
      </c>
      <c r="B572" s="6" t="s">
        <v>141</v>
      </c>
      <c r="C572" s="7">
        <v>2016</v>
      </c>
      <c r="D572" s="8">
        <f t="shared" si="91"/>
        <v>18</v>
      </c>
      <c r="E572" s="9">
        <v>-11.44178</v>
      </c>
      <c r="F572" s="9">
        <v>29.0716</v>
      </c>
      <c r="G572" s="10">
        <v>0</v>
      </c>
      <c r="H572" s="9">
        <v>0.66666666666666663</v>
      </c>
      <c r="I572" s="9">
        <v>-5.33E-2</v>
      </c>
      <c r="J572" s="9">
        <v>1.1358299999999999</v>
      </c>
      <c r="K572" s="9">
        <v>0.55669999999999997</v>
      </c>
      <c r="L572" s="9">
        <v>0.11609999999999999</v>
      </c>
      <c r="M572" s="11">
        <v>3.3588499999999999</v>
      </c>
      <c r="N572" s="11">
        <v>19.974070000000001</v>
      </c>
      <c r="O572" s="11">
        <v>0.94994000000000001</v>
      </c>
      <c r="P572" s="11">
        <v>24.282859999999999</v>
      </c>
      <c r="Q572" s="7"/>
    </row>
    <row r="573" spans="1:17" ht="12.75" customHeight="1" x14ac:dyDescent="0.35">
      <c r="A573" s="6" t="s">
        <v>140</v>
      </c>
      <c r="B573" s="6" t="s">
        <v>141</v>
      </c>
      <c r="C573" s="7">
        <v>2017</v>
      </c>
      <c r="D573" s="8">
        <f t="shared" si="91"/>
        <v>19</v>
      </c>
      <c r="E573" s="9">
        <v>1.1286400000000001</v>
      </c>
      <c r="F573" s="9">
        <v>39.5717</v>
      </c>
      <c r="G573" s="10">
        <v>0</v>
      </c>
      <c r="H573" s="9">
        <v>0.66666666666666663</v>
      </c>
      <c r="I573" s="9">
        <v>-2.8999999999999998E-3</v>
      </c>
      <c r="J573" s="9">
        <v>0.53022000000000002</v>
      </c>
      <c r="K573" s="9">
        <v>-6.1999999999999998E-3</v>
      </c>
      <c r="L573" s="9">
        <v>4.5699999999999998E-2</v>
      </c>
      <c r="M573" s="11">
        <v>-1.3993</v>
      </c>
      <c r="N573" s="11">
        <v>9.0257100000000001</v>
      </c>
      <c r="O573" s="11">
        <v>0.88920999999999994</v>
      </c>
      <c r="P573" s="11">
        <v>8.5156200000000002</v>
      </c>
      <c r="Q573" s="7"/>
    </row>
    <row r="574" spans="1:17" ht="12.75" customHeight="1" x14ac:dyDescent="0.35">
      <c r="A574" s="6" t="s">
        <v>140</v>
      </c>
      <c r="B574" s="6" t="s">
        <v>141</v>
      </c>
      <c r="C574" s="7">
        <v>2018</v>
      </c>
      <c r="D574" s="8">
        <v>20</v>
      </c>
      <c r="E574" s="9">
        <v>0.55200000000000005</v>
      </c>
      <c r="F574" s="9">
        <v>29.739000000000001</v>
      </c>
      <c r="G574" s="17">
        <v>0</v>
      </c>
      <c r="H574" s="9">
        <v>0.66669999999999996</v>
      </c>
      <c r="I574" s="9">
        <v>3.5999999999999997E-2</v>
      </c>
      <c r="J574" s="9">
        <v>0.38</v>
      </c>
      <c r="K574" s="9">
        <v>5.6000000000000001E-2</v>
      </c>
      <c r="L574" s="9">
        <v>0.42299999999999999</v>
      </c>
      <c r="M574" s="11">
        <v>9.2090000000000005E-2</v>
      </c>
      <c r="N574" s="11">
        <v>6.7602700000000002</v>
      </c>
      <c r="O574" s="11">
        <v>0.85207999999999995</v>
      </c>
      <c r="P574" s="11">
        <v>7.7044499999999996</v>
      </c>
      <c r="Q574" s="7"/>
    </row>
    <row r="575" spans="1:17" ht="12.75" customHeight="1" x14ac:dyDescent="0.35">
      <c r="A575" s="6" t="s">
        <v>140</v>
      </c>
      <c r="B575" s="6" t="s">
        <v>141</v>
      </c>
      <c r="C575" s="7">
        <v>2019</v>
      </c>
      <c r="D575" s="8">
        <v>21</v>
      </c>
      <c r="E575" s="9">
        <v>1.6339999999999999</v>
      </c>
      <c r="F575" s="9">
        <v>29.494</v>
      </c>
      <c r="G575" s="17">
        <v>0</v>
      </c>
      <c r="H575" s="9">
        <v>0.66669999999999996</v>
      </c>
      <c r="I575" s="9">
        <v>-0.44500000000000001</v>
      </c>
      <c r="J575" s="9">
        <v>1.0049999999999999</v>
      </c>
      <c r="K575" s="9">
        <v>-1.171</v>
      </c>
      <c r="L575" s="9">
        <v>0.67500000000000004</v>
      </c>
      <c r="M575" s="11">
        <v>0.59867000000000004</v>
      </c>
      <c r="N575" s="11">
        <v>9.8939900000000005</v>
      </c>
      <c r="O575" s="11">
        <v>0.89893000000000001</v>
      </c>
      <c r="P575" s="11">
        <v>11.391579999999999</v>
      </c>
      <c r="Q575" s="7"/>
    </row>
    <row r="576" spans="1:17" ht="12.75" customHeight="1" x14ac:dyDescent="0.35">
      <c r="A576" s="6" t="s">
        <v>142</v>
      </c>
      <c r="B576" s="6" t="s">
        <v>143</v>
      </c>
      <c r="C576" s="7">
        <v>2021</v>
      </c>
      <c r="D576" s="8">
        <v>29</v>
      </c>
      <c r="E576" s="9">
        <v>0.53100000000000003</v>
      </c>
      <c r="F576" s="9">
        <v>26.969000000000001</v>
      </c>
      <c r="G576" s="17">
        <v>0</v>
      </c>
      <c r="H576" s="9">
        <v>0.66669999999999996</v>
      </c>
      <c r="I576" s="9">
        <v>-1.7999999999999999E-2</v>
      </c>
      <c r="J576" s="9">
        <v>0.88200000000000001</v>
      </c>
      <c r="K576" s="9">
        <v>-2.8000000000000001E-2</v>
      </c>
      <c r="L576" s="9">
        <v>0.61699999999999999</v>
      </c>
      <c r="M576" s="11">
        <v>1.1437600000000001</v>
      </c>
      <c r="N576" s="11">
        <v>4.7413400000000001</v>
      </c>
      <c r="O576" s="11">
        <v>0.78908999999999996</v>
      </c>
      <c r="P576" s="11">
        <v>6.6741900000000003</v>
      </c>
      <c r="Q576" s="7"/>
    </row>
    <row r="577" spans="1:17" ht="12.75" customHeight="1" x14ac:dyDescent="0.35">
      <c r="A577" s="6" t="s">
        <v>142</v>
      </c>
      <c r="B577" s="6" t="s">
        <v>143</v>
      </c>
      <c r="C577" s="7">
        <v>2022</v>
      </c>
      <c r="D577" s="8">
        <v>30</v>
      </c>
      <c r="E577" s="9">
        <v>0.61899999999999999</v>
      </c>
      <c r="F577" s="9">
        <v>27.088999999999999</v>
      </c>
      <c r="G577" s="17">
        <v>0</v>
      </c>
      <c r="H577" s="9">
        <v>0.66669999999999996</v>
      </c>
      <c r="I577" s="9">
        <v>3.9E-2</v>
      </c>
      <c r="J577" s="9">
        <v>0.70099999999999996</v>
      </c>
      <c r="K577" s="9">
        <v>6.4000000000000001E-2</v>
      </c>
      <c r="L577" s="9">
        <v>0.73</v>
      </c>
      <c r="M577" s="11">
        <v>1.3040099999999999</v>
      </c>
      <c r="N577" s="11">
        <v>5.2230600000000003</v>
      </c>
      <c r="O577" s="11">
        <v>0.80854000000000004</v>
      </c>
      <c r="P577" s="11">
        <v>7.33561</v>
      </c>
      <c r="Q577" s="7"/>
    </row>
    <row r="578" spans="1:17" ht="12.75" customHeight="1" x14ac:dyDescent="0.35">
      <c r="A578" s="6" t="s">
        <v>144</v>
      </c>
      <c r="B578" s="6" t="s">
        <v>145</v>
      </c>
      <c r="C578" s="7">
        <v>2019</v>
      </c>
      <c r="D578" s="8">
        <v>24</v>
      </c>
      <c r="E578" s="9">
        <v>0.59599999999999997</v>
      </c>
      <c r="F578" s="9">
        <v>28.867999999999999</v>
      </c>
      <c r="G578" s="17">
        <v>0</v>
      </c>
      <c r="H578" s="9">
        <v>0.66669999999999996</v>
      </c>
      <c r="I578" s="9">
        <v>-6.8000000000000005E-2</v>
      </c>
      <c r="J578" s="9">
        <v>0.52500000000000002</v>
      </c>
      <c r="K578" s="9">
        <v>-0.108</v>
      </c>
      <c r="L578" s="9">
        <v>0.22600000000000001</v>
      </c>
      <c r="M578" s="11">
        <v>0.44744</v>
      </c>
      <c r="N578" s="11">
        <v>13.4377</v>
      </c>
      <c r="O578" s="11">
        <v>0.92557999999999996</v>
      </c>
      <c r="P578" s="11">
        <v>14.81072</v>
      </c>
      <c r="Q578" s="7"/>
    </row>
    <row r="579" spans="1:17" ht="12.75" customHeight="1" x14ac:dyDescent="0.35">
      <c r="A579" s="6" t="s">
        <v>144</v>
      </c>
      <c r="B579" s="6" t="s">
        <v>145</v>
      </c>
      <c r="C579" s="7">
        <v>2020</v>
      </c>
      <c r="D579" s="8">
        <v>25</v>
      </c>
      <c r="E579" s="9">
        <v>0.56899999999999995</v>
      </c>
      <c r="F579" s="9">
        <v>28.765000000000001</v>
      </c>
      <c r="G579" s="17">
        <v>0</v>
      </c>
      <c r="H579" s="9">
        <v>0.66669999999999996</v>
      </c>
      <c r="I579" s="9">
        <v>-6.8000000000000005E-2</v>
      </c>
      <c r="J579" s="9">
        <v>0.51300000000000001</v>
      </c>
      <c r="K579" s="9">
        <v>-0.106</v>
      </c>
      <c r="L579" s="9">
        <v>0.20499999999999999</v>
      </c>
      <c r="M579" s="11">
        <v>0.34899000000000002</v>
      </c>
      <c r="N579" s="11">
        <v>11.43324</v>
      </c>
      <c r="O579" s="11">
        <v>0.91254000000000002</v>
      </c>
      <c r="P579" s="11">
        <v>12.69476</v>
      </c>
      <c r="Q579" s="7"/>
    </row>
    <row r="580" spans="1:17" ht="12.75" customHeight="1" x14ac:dyDescent="0.35">
      <c r="A580" s="6" t="s">
        <v>144</v>
      </c>
      <c r="B580" s="6" t="s">
        <v>145</v>
      </c>
      <c r="C580" s="7">
        <v>2021</v>
      </c>
      <c r="D580" s="8">
        <v>26</v>
      </c>
      <c r="E580" s="9">
        <v>0.27400000000000002</v>
      </c>
      <c r="F580" s="9">
        <v>28.66</v>
      </c>
      <c r="G580" s="17">
        <v>0</v>
      </c>
      <c r="H580" s="9">
        <v>0.66669999999999996</v>
      </c>
      <c r="I580" s="9">
        <v>1E-3</v>
      </c>
      <c r="J580" s="9">
        <v>0.51400000000000001</v>
      </c>
      <c r="K580" s="9">
        <v>1E-3</v>
      </c>
      <c r="L580" s="9">
        <v>0.20200000000000001</v>
      </c>
      <c r="M580" s="11">
        <v>0.26605000000000001</v>
      </c>
      <c r="N580" s="11">
        <v>10.6092</v>
      </c>
      <c r="O580" s="11">
        <v>0.90573999999999999</v>
      </c>
      <c r="P580" s="11">
        <v>11.780989999999999</v>
      </c>
      <c r="Q580" s="7"/>
    </row>
    <row r="581" spans="1:17" ht="12.75" customHeight="1" x14ac:dyDescent="0.35">
      <c r="A581" s="6" t="s">
        <v>144</v>
      </c>
      <c r="B581" s="6" t="s">
        <v>145</v>
      </c>
      <c r="C581" s="7">
        <v>2022</v>
      </c>
      <c r="D581" s="8">
        <v>27</v>
      </c>
      <c r="E581" s="9">
        <v>0.217</v>
      </c>
      <c r="F581" s="9">
        <v>28.722999999999999</v>
      </c>
      <c r="G581" s="17">
        <v>0</v>
      </c>
      <c r="H581" s="9">
        <v>0.66669999999999996</v>
      </c>
      <c r="I581" s="9">
        <v>5.0000000000000001E-3</v>
      </c>
      <c r="J581" s="9">
        <v>0.65500000000000003</v>
      </c>
      <c r="K581" s="9">
        <v>6.0000000000000001E-3</v>
      </c>
      <c r="L581" s="9">
        <v>0.32200000000000001</v>
      </c>
      <c r="M581" s="11">
        <v>0.44736999999999999</v>
      </c>
      <c r="N581" s="11">
        <v>5.2472300000000001</v>
      </c>
      <c r="O581" s="11">
        <v>0.80942000000000003</v>
      </c>
      <c r="P581" s="11">
        <v>6.5040199999999997</v>
      </c>
      <c r="Q581" s="7"/>
    </row>
    <row r="582" spans="1:17" ht="12.75" customHeight="1" x14ac:dyDescent="0.35">
      <c r="A582" s="6" t="s">
        <v>146</v>
      </c>
      <c r="B582" s="6" t="s">
        <v>147</v>
      </c>
      <c r="C582" s="7">
        <v>2019</v>
      </c>
      <c r="D582" s="8">
        <v>8</v>
      </c>
      <c r="E582" s="9">
        <v>0.36599999999999999</v>
      </c>
      <c r="F582" s="9">
        <v>27.417999999999999</v>
      </c>
      <c r="G582" s="17">
        <v>0</v>
      </c>
      <c r="H582" s="9">
        <v>0.66669999999999996</v>
      </c>
      <c r="I582" s="9">
        <v>2.1000000000000001E-2</v>
      </c>
      <c r="J582" s="9">
        <v>1.034</v>
      </c>
      <c r="K582" s="9">
        <v>2.9000000000000001E-2</v>
      </c>
      <c r="L582" s="9">
        <v>0.219</v>
      </c>
      <c r="M582" s="11">
        <v>0.26258999999999999</v>
      </c>
      <c r="N582" s="11">
        <v>3.6198899999999998</v>
      </c>
      <c r="O582" s="11">
        <v>0.72375</v>
      </c>
      <c r="P582" s="11">
        <v>4.60623</v>
      </c>
      <c r="Q582" s="7"/>
    </row>
    <row r="583" spans="1:17" ht="12.75" customHeight="1" x14ac:dyDescent="0.35">
      <c r="A583" s="6" t="s">
        <v>146</v>
      </c>
      <c r="B583" s="6" t="s">
        <v>147</v>
      </c>
      <c r="C583" s="7">
        <v>2020</v>
      </c>
      <c r="D583" s="8">
        <v>9</v>
      </c>
      <c r="E583" s="9">
        <v>0.28799999999999998</v>
      </c>
      <c r="F583" s="9">
        <v>27.364000000000001</v>
      </c>
      <c r="G583" s="17">
        <v>0</v>
      </c>
      <c r="H583" s="9">
        <v>0.66669999999999996</v>
      </c>
      <c r="I583" s="9">
        <v>2E-3</v>
      </c>
      <c r="J583" s="9">
        <v>0.45</v>
      </c>
      <c r="K583" s="9">
        <v>2E-3</v>
      </c>
      <c r="L583" s="9">
        <v>0.14699999999999999</v>
      </c>
      <c r="M583" s="11">
        <v>0.18447</v>
      </c>
      <c r="N583" s="11">
        <v>4.2183299999999999</v>
      </c>
      <c r="O583" s="11">
        <v>0.76293999999999995</v>
      </c>
      <c r="P583" s="11">
        <v>5.1657400000000004</v>
      </c>
      <c r="Q583" s="7"/>
    </row>
    <row r="584" spans="1:17" ht="12.75" customHeight="1" x14ac:dyDescent="0.35">
      <c r="A584" s="6" t="s">
        <v>146</v>
      </c>
      <c r="B584" s="6" t="s">
        <v>147</v>
      </c>
      <c r="C584" s="7">
        <v>2021</v>
      </c>
      <c r="D584" s="8">
        <v>10</v>
      </c>
      <c r="E584" s="9">
        <v>0.27500000000000002</v>
      </c>
      <c r="F584" s="9">
        <v>27.29514</v>
      </c>
      <c r="G584" s="12">
        <v>0</v>
      </c>
      <c r="H584" s="9">
        <v>0.66669999999999996</v>
      </c>
      <c r="I584" s="9">
        <v>-4.7370000000000002E-2</v>
      </c>
      <c r="J584" s="9">
        <v>0.36299999999999999</v>
      </c>
      <c r="K584" s="9">
        <v>-6.0415311628372312E-2</v>
      </c>
      <c r="L584" s="9">
        <v>0.12911298394222587</v>
      </c>
      <c r="M584" s="11">
        <v>0.19683259399916295</v>
      </c>
      <c r="N584" s="11">
        <v>3.2340027908003508</v>
      </c>
      <c r="O584" s="11">
        <v>0.69078567190954088</v>
      </c>
      <c r="P584" s="11">
        <v>4.1216210567090545</v>
      </c>
      <c r="Q584" s="7"/>
    </row>
    <row r="585" spans="1:17" ht="12.75" customHeight="1" x14ac:dyDescent="0.35">
      <c r="A585" s="6" t="s">
        <v>146</v>
      </c>
      <c r="B585" s="6" t="s">
        <v>147</v>
      </c>
      <c r="C585" s="7">
        <v>2022</v>
      </c>
      <c r="D585" s="8">
        <v>11</v>
      </c>
      <c r="E585" s="9">
        <v>0.27500000000000002</v>
      </c>
      <c r="F585" s="9">
        <v>27.244</v>
      </c>
      <c r="G585" s="17">
        <v>0</v>
      </c>
      <c r="H585" s="9">
        <v>0.66669999999999996</v>
      </c>
      <c r="I585" s="9">
        <v>-4.1000000000000002E-2</v>
      </c>
      <c r="J585" s="9">
        <v>0.39800000000000002</v>
      </c>
      <c r="K585" s="9">
        <v>-5.1999999999999998E-2</v>
      </c>
      <c r="L585" s="9">
        <v>0.14499999999999999</v>
      </c>
      <c r="M585" s="11">
        <v>0.25463999999999998</v>
      </c>
      <c r="N585" s="11">
        <v>4.0468700000000002</v>
      </c>
      <c r="O585" s="11">
        <v>0.75290000000000001</v>
      </c>
      <c r="P585" s="11">
        <v>5.0544099999999998</v>
      </c>
      <c r="Q585" s="7"/>
    </row>
    <row r="586" spans="1:17" ht="12.75" customHeight="1" x14ac:dyDescent="0.35">
      <c r="D586" s="8"/>
      <c r="E586" s="9"/>
      <c r="F586" s="9"/>
      <c r="G586" s="12"/>
      <c r="H586" s="9"/>
      <c r="I586" s="9"/>
      <c r="J586" s="9"/>
      <c r="K586" s="9"/>
      <c r="L586" s="9"/>
      <c r="M586" s="11"/>
      <c r="N586" s="11"/>
      <c r="O586" s="11"/>
      <c r="P586" s="11"/>
    </row>
    <row r="587" spans="1:17" ht="12.75" customHeight="1" x14ac:dyDescent="0.35">
      <c r="D587" s="8"/>
      <c r="E587" s="9"/>
      <c r="F587" s="9"/>
      <c r="G587" s="12"/>
      <c r="H587" s="9"/>
      <c r="I587" s="9"/>
      <c r="J587" s="9"/>
      <c r="K587" s="9"/>
      <c r="L587" s="9"/>
      <c r="M587" s="11"/>
      <c r="N587" s="11"/>
      <c r="O587" s="11"/>
      <c r="P587" s="11"/>
    </row>
    <row r="588" spans="1:17" ht="12.75" customHeight="1" x14ac:dyDescent="0.35">
      <c r="D588" s="8"/>
      <c r="E588" s="9"/>
      <c r="F588" s="9"/>
      <c r="G588" s="12"/>
      <c r="H588" s="9"/>
      <c r="I588" s="9"/>
      <c r="J588" s="9"/>
      <c r="K588" s="9"/>
      <c r="L588" s="9"/>
      <c r="M588" s="11"/>
      <c r="N588" s="11"/>
      <c r="O588" s="11"/>
      <c r="P588" s="11"/>
    </row>
    <row r="589" spans="1:17" ht="12.75" customHeight="1" x14ac:dyDescent="0.35">
      <c r="D589" s="8"/>
      <c r="E589" s="9"/>
      <c r="F589" s="9"/>
      <c r="G589" s="12"/>
      <c r="H589" s="9"/>
      <c r="I589" s="9"/>
      <c r="J589" s="9"/>
      <c r="K589" s="9"/>
      <c r="L589" s="9"/>
      <c r="M589" s="11"/>
      <c r="N589" s="11"/>
      <c r="O589" s="11"/>
      <c r="P589" s="11"/>
    </row>
    <row r="590" spans="1:17" ht="12.75" customHeight="1" x14ac:dyDescent="0.35">
      <c r="D590" s="8"/>
      <c r="E590" s="9"/>
      <c r="F590" s="9"/>
      <c r="G590" s="12"/>
      <c r="H590" s="9"/>
      <c r="I590" s="9"/>
      <c r="J590" s="9"/>
      <c r="K590" s="9"/>
      <c r="L590" s="9"/>
      <c r="M590" s="11"/>
      <c r="N590" s="11"/>
      <c r="O590" s="11"/>
      <c r="P590" s="11"/>
    </row>
    <row r="591" spans="1:17" ht="12.75" customHeight="1" x14ac:dyDescent="0.35">
      <c r="D591" s="8"/>
      <c r="E591" s="9"/>
      <c r="F591" s="9"/>
      <c r="G591" s="12"/>
      <c r="H591" s="9"/>
      <c r="I591" s="9"/>
      <c r="J591" s="9"/>
      <c r="K591" s="9"/>
      <c r="L591" s="9"/>
      <c r="M591" s="11"/>
      <c r="N591" s="11"/>
      <c r="O591" s="11"/>
      <c r="P591" s="11"/>
    </row>
    <row r="592" spans="1:17" ht="12.75" customHeight="1" x14ac:dyDescent="0.35">
      <c r="D592" s="8"/>
      <c r="E592" s="9"/>
      <c r="F592" s="9"/>
      <c r="G592" s="12"/>
      <c r="H592" s="9"/>
      <c r="I592" s="9"/>
      <c r="J592" s="9"/>
      <c r="K592" s="9"/>
      <c r="L592" s="9"/>
      <c r="M592" s="11"/>
      <c r="N592" s="11"/>
      <c r="O592" s="11"/>
      <c r="P592" s="11"/>
    </row>
    <row r="593" spans="4:16" ht="12.75" customHeight="1" x14ac:dyDescent="0.35">
      <c r="D593" s="8"/>
      <c r="E593" s="9"/>
      <c r="F593" s="9"/>
      <c r="G593" s="12"/>
      <c r="H593" s="9"/>
      <c r="I593" s="9"/>
      <c r="J593" s="9"/>
      <c r="K593" s="9"/>
      <c r="L593" s="9"/>
      <c r="M593" s="11"/>
      <c r="N593" s="11"/>
      <c r="O593" s="11"/>
      <c r="P593" s="11"/>
    </row>
    <row r="594" spans="4:16" ht="12.75" customHeight="1" x14ac:dyDescent="0.35">
      <c r="D594" s="8"/>
      <c r="E594" s="9"/>
      <c r="F594" s="9"/>
      <c r="G594" s="12"/>
      <c r="H594" s="9"/>
      <c r="I594" s="9"/>
      <c r="J594" s="9"/>
      <c r="K594" s="9"/>
      <c r="L594" s="9"/>
      <c r="M594" s="11"/>
      <c r="N594" s="11"/>
      <c r="O594" s="11"/>
      <c r="P594" s="11"/>
    </row>
    <row r="595" spans="4:16" ht="12.75" customHeight="1" x14ac:dyDescent="0.35">
      <c r="D595" s="8"/>
      <c r="E595" s="9"/>
      <c r="F595" s="9"/>
      <c r="G595" s="12"/>
      <c r="H595" s="9"/>
      <c r="I595" s="9"/>
      <c r="J595" s="9"/>
      <c r="K595" s="9"/>
      <c r="L595" s="9"/>
      <c r="M595" s="11"/>
      <c r="N595" s="11"/>
      <c r="O595" s="11"/>
      <c r="P595" s="11"/>
    </row>
    <row r="596" spans="4:16" ht="12.75" customHeight="1" x14ac:dyDescent="0.35">
      <c r="D596" s="8"/>
      <c r="E596" s="9"/>
      <c r="F596" s="9"/>
      <c r="G596" s="12"/>
      <c r="H596" s="9"/>
      <c r="I596" s="9"/>
      <c r="J596" s="9"/>
      <c r="K596" s="9"/>
      <c r="L596" s="9"/>
      <c r="M596" s="11"/>
      <c r="N596" s="11"/>
      <c r="O596" s="11"/>
      <c r="P596" s="11"/>
    </row>
    <row r="597" spans="4:16" ht="12.75" customHeight="1" x14ac:dyDescent="0.35">
      <c r="D597" s="8"/>
      <c r="E597" s="9"/>
      <c r="F597" s="9"/>
      <c r="G597" s="12"/>
      <c r="H597" s="9"/>
      <c r="I597" s="9"/>
      <c r="J597" s="9"/>
      <c r="K597" s="9"/>
      <c r="L597" s="9"/>
      <c r="M597" s="11"/>
      <c r="N597" s="11"/>
      <c r="O597" s="11"/>
      <c r="P597" s="11"/>
    </row>
    <row r="598" spans="4:16" ht="12.75" customHeight="1" x14ac:dyDescent="0.35">
      <c r="D598" s="8"/>
      <c r="E598" s="9"/>
      <c r="F598" s="9"/>
      <c r="G598" s="12"/>
      <c r="H598" s="9"/>
      <c r="I598" s="9"/>
      <c r="J598" s="9"/>
      <c r="K598" s="9"/>
      <c r="L598" s="9"/>
      <c r="M598" s="11"/>
      <c r="N598" s="11"/>
      <c r="O598" s="11"/>
      <c r="P598" s="11"/>
    </row>
    <row r="599" spans="4:16" ht="12.75" customHeight="1" x14ac:dyDescent="0.35">
      <c r="D599" s="8"/>
      <c r="E599" s="9"/>
      <c r="F599" s="9"/>
      <c r="G599" s="12"/>
      <c r="H599" s="9"/>
      <c r="I599" s="9"/>
      <c r="J599" s="9"/>
      <c r="K599" s="9"/>
      <c r="L599" s="9"/>
      <c r="M599" s="11"/>
      <c r="N599" s="11"/>
      <c r="O599" s="11"/>
      <c r="P599" s="11"/>
    </row>
    <row r="600" spans="4:16" ht="12.75" customHeight="1" x14ac:dyDescent="0.35">
      <c r="D600" s="8"/>
      <c r="E600" s="9"/>
      <c r="F600" s="9"/>
      <c r="G600" s="12"/>
      <c r="H600" s="9"/>
      <c r="I600" s="9"/>
      <c r="J600" s="9"/>
      <c r="K600" s="9"/>
      <c r="L600" s="9"/>
      <c r="M600" s="11"/>
      <c r="N600" s="11"/>
      <c r="O600" s="11"/>
      <c r="P600" s="11"/>
    </row>
    <row r="601" spans="4:16" ht="12.75" customHeight="1" x14ac:dyDescent="0.35">
      <c r="D601" s="8"/>
      <c r="E601" s="9"/>
      <c r="F601" s="9"/>
      <c r="G601" s="12"/>
      <c r="H601" s="9"/>
      <c r="I601" s="9"/>
      <c r="J601" s="9"/>
      <c r="K601" s="9"/>
      <c r="L601" s="9"/>
      <c r="M601" s="11"/>
      <c r="N601" s="11"/>
      <c r="O601" s="11"/>
      <c r="P601" s="11"/>
    </row>
    <row r="602" spans="4:16" ht="12.75" customHeight="1" x14ac:dyDescent="0.35">
      <c r="D602" s="8"/>
      <c r="E602" s="9"/>
      <c r="F602" s="9"/>
      <c r="G602" s="12"/>
      <c r="H602" s="9"/>
      <c r="I602" s="9"/>
      <c r="J602" s="9"/>
      <c r="K602" s="9"/>
      <c r="L602" s="9"/>
      <c r="M602" s="11"/>
      <c r="N602" s="11"/>
      <c r="O602" s="11"/>
      <c r="P602" s="11"/>
    </row>
    <row r="603" spans="4:16" ht="12.75" customHeight="1" x14ac:dyDescent="0.35">
      <c r="D603" s="8"/>
      <c r="E603" s="9"/>
      <c r="F603" s="9"/>
      <c r="G603" s="12"/>
      <c r="H603" s="9"/>
      <c r="I603" s="9"/>
      <c r="J603" s="9"/>
      <c r="K603" s="9"/>
      <c r="L603" s="9"/>
      <c r="M603" s="11"/>
      <c r="N603" s="11"/>
      <c r="O603" s="11"/>
      <c r="P603" s="11"/>
    </row>
    <row r="604" spans="4:16" ht="12.75" customHeight="1" x14ac:dyDescent="0.35">
      <c r="D604" s="8"/>
      <c r="E604" s="9"/>
      <c r="F604" s="9"/>
      <c r="G604" s="12"/>
      <c r="H604" s="9"/>
      <c r="I604" s="9"/>
      <c r="J604" s="9"/>
      <c r="K604" s="9"/>
      <c r="L604" s="9"/>
      <c r="M604" s="11"/>
      <c r="N604" s="11"/>
      <c r="O604" s="11"/>
      <c r="P604" s="11"/>
    </row>
    <row r="605" spans="4:16" ht="12.75" customHeight="1" x14ac:dyDescent="0.35">
      <c r="D605" s="8"/>
      <c r="E605" s="9"/>
      <c r="F605" s="9"/>
      <c r="G605" s="12"/>
      <c r="H605" s="9"/>
      <c r="I605" s="9"/>
      <c r="J605" s="9"/>
      <c r="K605" s="9"/>
      <c r="L605" s="9"/>
      <c r="M605" s="11"/>
      <c r="N605" s="11"/>
      <c r="O605" s="11"/>
      <c r="P605" s="11"/>
    </row>
    <row r="606" spans="4:16" ht="12.75" customHeight="1" x14ac:dyDescent="0.35">
      <c r="D606" s="8"/>
      <c r="E606" s="9"/>
      <c r="F606" s="9"/>
      <c r="G606" s="12"/>
      <c r="H606" s="9"/>
      <c r="I606" s="9"/>
      <c r="J606" s="9"/>
      <c r="K606" s="9"/>
      <c r="L606" s="9"/>
      <c r="M606" s="11"/>
      <c r="N606" s="11"/>
      <c r="O606" s="11"/>
      <c r="P606" s="11"/>
    </row>
    <row r="607" spans="4:16" ht="12.75" customHeight="1" x14ac:dyDescent="0.35">
      <c r="D607" s="8"/>
      <c r="E607" s="9"/>
      <c r="F607" s="9"/>
      <c r="G607" s="12"/>
      <c r="H607" s="9"/>
      <c r="I607" s="9"/>
      <c r="J607" s="9"/>
      <c r="K607" s="9"/>
      <c r="L607" s="9"/>
      <c r="M607" s="11"/>
      <c r="N607" s="11"/>
      <c r="O607" s="11"/>
      <c r="P607" s="11"/>
    </row>
    <row r="608" spans="4:16" ht="12.75" customHeight="1" x14ac:dyDescent="0.35">
      <c r="D608" s="8"/>
      <c r="E608" s="9"/>
      <c r="F608" s="9"/>
      <c r="G608" s="12"/>
      <c r="H608" s="9"/>
      <c r="I608" s="9"/>
      <c r="J608" s="9"/>
      <c r="K608" s="9"/>
      <c r="L608" s="9"/>
      <c r="M608" s="11"/>
      <c r="N608" s="11"/>
      <c r="O608" s="11"/>
      <c r="P608" s="11"/>
    </row>
    <row r="609" spans="4:16" ht="12.75" customHeight="1" x14ac:dyDescent="0.35">
      <c r="D609" s="8"/>
      <c r="E609" s="9"/>
      <c r="F609" s="9"/>
      <c r="G609" s="12"/>
      <c r="H609" s="9"/>
      <c r="I609" s="9"/>
      <c r="J609" s="9"/>
      <c r="K609" s="9"/>
      <c r="L609" s="9"/>
      <c r="M609" s="11"/>
      <c r="N609" s="11"/>
      <c r="O609" s="11"/>
      <c r="P609" s="11"/>
    </row>
    <row r="610" spans="4:16" ht="12.75" customHeight="1" x14ac:dyDescent="0.35">
      <c r="D610" s="8"/>
      <c r="E610" s="9"/>
      <c r="F610" s="9"/>
      <c r="G610" s="12"/>
      <c r="H610" s="9"/>
      <c r="I610" s="9"/>
      <c r="J610" s="9"/>
      <c r="K610" s="9"/>
      <c r="L610" s="9"/>
      <c r="M610" s="11"/>
      <c r="N610" s="11"/>
      <c r="O610" s="11"/>
      <c r="P610" s="11"/>
    </row>
    <row r="611" spans="4:16" ht="12.75" customHeight="1" x14ac:dyDescent="0.35">
      <c r="D611" s="8"/>
      <c r="E611" s="9"/>
      <c r="F611" s="9"/>
      <c r="G611" s="12"/>
      <c r="H611" s="9"/>
      <c r="I611" s="9"/>
      <c r="J611" s="9"/>
      <c r="K611" s="9"/>
      <c r="L611" s="9"/>
      <c r="M611" s="11"/>
      <c r="N611" s="11"/>
      <c r="O611" s="11"/>
      <c r="P611" s="11"/>
    </row>
    <row r="612" spans="4:16" ht="12.75" customHeight="1" x14ac:dyDescent="0.35">
      <c r="D612" s="8"/>
      <c r="E612" s="9"/>
      <c r="F612" s="9"/>
      <c r="G612" s="12"/>
      <c r="H612" s="9"/>
      <c r="I612" s="9"/>
      <c r="J612" s="9"/>
      <c r="K612" s="9"/>
      <c r="L612" s="9"/>
      <c r="M612" s="11"/>
      <c r="N612" s="11"/>
      <c r="O612" s="11"/>
      <c r="P612" s="11"/>
    </row>
    <row r="613" spans="4:16" ht="12.75" customHeight="1" x14ac:dyDescent="0.35">
      <c r="D613" s="8"/>
      <c r="E613" s="9"/>
      <c r="F613" s="9"/>
      <c r="G613" s="12"/>
      <c r="H613" s="9"/>
      <c r="I613" s="9"/>
      <c r="J613" s="9"/>
      <c r="K613" s="9"/>
      <c r="L613" s="9"/>
      <c r="M613" s="11"/>
      <c r="N613" s="11"/>
      <c r="O613" s="11"/>
      <c r="P613" s="11"/>
    </row>
    <row r="614" spans="4:16" ht="12.75" customHeight="1" x14ac:dyDescent="0.35">
      <c r="D614" s="8"/>
      <c r="E614" s="9"/>
      <c r="F614" s="9"/>
      <c r="G614" s="12"/>
      <c r="H614" s="9"/>
      <c r="I614" s="9"/>
      <c r="J614" s="9"/>
      <c r="K614" s="9"/>
      <c r="L614" s="9"/>
      <c r="M614" s="11"/>
      <c r="N614" s="11"/>
      <c r="O614" s="11"/>
      <c r="P614" s="11"/>
    </row>
    <row r="615" spans="4:16" ht="12.75" customHeight="1" x14ac:dyDescent="0.35">
      <c r="D615" s="8"/>
      <c r="E615" s="9"/>
      <c r="F615" s="9"/>
      <c r="G615" s="12"/>
      <c r="H615" s="9"/>
      <c r="I615" s="9"/>
      <c r="J615" s="9"/>
      <c r="K615" s="9"/>
      <c r="L615" s="9"/>
      <c r="M615" s="11"/>
      <c r="N615" s="11"/>
      <c r="O615" s="11"/>
      <c r="P615" s="11"/>
    </row>
    <row r="616" spans="4:16" ht="12.75" customHeight="1" x14ac:dyDescent="0.35">
      <c r="D616" s="8"/>
      <c r="E616" s="9"/>
      <c r="F616" s="9"/>
      <c r="G616" s="12"/>
      <c r="H616" s="9"/>
      <c r="I616" s="9"/>
      <c r="J616" s="9"/>
      <c r="K616" s="9"/>
      <c r="L616" s="9"/>
      <c r="M616" s="11"/>
      <c r="N616" s="11"/>
      <c r="O616" s="11"/>
      <c r="P616" s="11"/>
    </row>
    <row r="617" spans="4:16" ht="12.75" customHeight="1" x14ac:dyDescent="0.35">
      <c r="D617" s="8"/>
      <c r="E617" s="9"/>
      <c r="F617" s="9"/>
      <c r="G617" s="12"/>
      <c r="H617" s="9"/>
      <c r="I617" s="9"/>
      <c r="J617" s="9"/>
      <c r="K617" s="9"/>
      <c r="L617" s="9"/>
      <c r="M617" s="11"/>
      <c r="N617" s="11"/>
      <c r="O617" s="11"/>
      <c r="P617" s="11"/>
    </row>
    <row r="618" spans="4:16" ht="12.75" customHeight="1" x14ac:dyDescent="0.35">
      <c r="D618" s="8"/>
      <c r="E618" s="9"/>
      <c r="F618" s="9"/>
      <c r="G618" s="12"/>
      <c r="H618" s="9"/>
      <c r="I618" s="9"/>
      <c r="J618" s="9"/>
      <c r="K618" s="9"/>
      <c r="L618" s="9"/>
      <c r="M618" s="11"/>
      <c r="N618" s="11"/>
      <c r="O618" s="11"/>
      <c r="P618" s="11"/>
    </row>
    <row r="619" spans="4:16" ht="12.75" customHeight="1" x14ac:dyDescent="0.35">
      <c r="D619" s="8"/>
      <c r="E619" s="9"/>
      <c r="F619" s="9"/>
      <c r="G619" s="12"/>
      <c r="H619" s="9"/>
      <c r="I619" s="9"/>
      <c r="J619" s="9"/>
      <c r="K619" s="9"/>
      <c r="L619" s="9"/>
      <c r="M619" s="11"/>
      <c r="N619" s="11"/>
      <c r="O619" s="11"/>
      <c r="P619" s="11"/>
    </row>
    <row r="620" spans="4:16" ht="12.75" customHeight="1" x14ac:dyDescent="0.35">
      <c r="D620" s="8"/>
      <c r="E620" s="9"/>
      <c r="F620" s="9"/>
      <c r="G620" s="12"/>
      <c r="H620" s="9"/>
      <c r="I620" s="9"/>
      <c r="J620" s="9"/>
      <c r="K620" s="9"/>
      <c r="L620" s="9"/>
      <c r="M620" s="11"/>
      <c r="N620" s="11"/>
      <c r="O620" s="11"/>
      <c r="P620" s="11"/>
    </row>
    <row r="621" spans="4:16" ht="12.75" customHeight="1" x14ac:dyDescent="0.35">
      <c r="D621" s="8"/>
      <c r="E621" s="9"/>
      <c r="F621" s="9"/>
      <c r="G621" s="12"/>
      <c r="H621" s="9"/>
      <c r="I621" s="9"/>
      <c r="J621" s="9"/>
      <c r="K621" s="9"/>
      <c r="L621" s="9"/>
      <c r="M621" s="11"/>
      <c r="N621" s="11"/>
      <c r="O621" s="11"/>
      <c r="P621" s="11"/>
    </row>
    <row r="622" spans="4:16" ht="12.75" customHeight="1" x14ac:dyDescent="0.35">
      <c r="D622" s="8"/>
      <c r="E622" s="9"/>
      <c r="F622" s="9"/>
      <c r="G622" s="12"/>
      <c r="H622" s="9"/>
      <c r="I622" s="9"/>
      <c r="J622" s="9"/>
      <c r="K622" s="9"/>
      <c r="L622" s="9"/>
      <c r="M622" s="11"/>
      <c r="N622" s="11"/>
      <c r="O622" s="11"/>
      <c r="P622" s="11"/>
    </row>
    <row r="623" spans="4:16" ht="12.75" customHeight="1" x14ac:dyDescent="0.35">
      <c r="D623" s="8"/>
      <c r="E623" s="9"/>
      <c r="F623" s="9"/>
      <c r="G623" s="12"/>
      <c r="H623" s="9"/>
      <c r="I623" s="9"/>
      <c r="J623" s="9"/>
      <c r="K623" s="9"/>
      <c r="L623" s="9"/>
      <c r="M623" s="11"/>
      <c r="N623" s="11"/>
      <c r="O623" s="11"/>
      <c r="P623" s="11"/>
    </row>
    <row r="624" spans="4:16" ht="12.75" customHeight="1" x14ac:dyDescent="0.35">
      <c r="D624" s="8"/>
      <c r="E624" s="9"/>
      <c r="F624" s="9"/>
      <c r="G624" s="12"/>
      <c r="H624" s="9"/>
      <c r="I624" s="9"/>
      <c r="J624" s="9"/>
      <c r="K624" s="9"/>
      <c r="L624" s="9"/>
      <c r="M624" s="11"/>
      <c r="N624" s="11"/>
      <c r="O624" s="11"/>
      <c r="P624" s="11"/>
    </row>
    <row r="625" spans="4:16" ht="12.75" customHeight="1" x14ac:dyDescent="0.35">
      <c r="D625" s="8"/>
      <c r="E625" s="9"/>
      <c r="F625" s="9"/>
      <c r="G625" s="12"/>
      <c r="H625" s="9"/>
      <c r="I625" s="9"/>
      <c r="J625" s="9"/>
      <c r="K625" s="9"/>
      <c r="L625" s="9"/>
      <c r="M625" s="11"/>
      <c r="N625" s="11"/>
      <c r="O625" s="11"/>
      <c r="P625" s="11"/>
    </row>
    <row r="626" spans="4:16" ht="12.75" customHeight="1" x14ac:dyDescent="0.35">
      <c r="D626" s="8"/>
      <c r="E626" s="9"/>
      <c r="F626" s="9"/>
      <c r="G626" s="12"/>
      <c r="H626" s="9"/>
      <c r="I626" s="9"/>
      <c r="J626" s="9"/>
      <c r="K626" s="9"/>
      <c r="L626" s="9"/>
      <c r="M626" s="11"/>
      <c r="N626" s="11"/>
      <c r="O626" s="11"/>
      <c r="P626" s="11"/>
    </row>
    <row r="627" spans="4:16" ht="12.75" customHeight="1" x14ac:dyDescent="0.35">
      <c r="D627" s="8"/>
      <c r="E627" s="9"/>
      <c r="F627" s="9"/>
      <c r="G627" s="12"/>
      <c r="H627" s="9"/>
      <c r="I627" s="9"/>
      <c r="J627" s="9"/>
      <c r="K627" s="9"/>
      <c r="L627" s="9"/>
      <c r="M627" s="11"/>
      <c r="N627" s="11"/>
      <c r="O627" s="11"/>
      <c r="P627" s="11"/>
    </row>
    <row r="628" spans="4:16" ht="12.75" customHeight="1" x14ac:dyDescent="0.35">
      <c r="D628" s="8"/>
      <c r="E628" s="9"/>
      <c r="F628" s="9"/>
      <c r="G628" s="12"/>
      <c r="H628" s="9"/>
      <c r="I628" s="9"/>
      <c r="J628" s="9"/>
      <c r="K628" s="9"/>
      <c r="L628" s="9"/>
      <c r="M628" s="11"/>
      <c r="N628" s="11"/>
      <c r="O628" s="11"/>
      <c r="P628" s="11"/>
    </row>
    <row r="629" spans="4:16" ht="12.75" customHeight="1" x14ac:dyDescent="0.35">
      <c r="D629" s="8"/>
      <c r="E629" s="9"/>
      <c r="F629" s="9"/>
      <c r="G629" s="12"/>
      <c r="H629" s="9"/>
      <c r="I629" s="9"/>
      <c r="J629" s="9"/>
      <c r="K629" s="9"/>
      <c r="L629" s="9"/>
      <c r="M629" s="11"/>
      <c r="N629" s="11"/>
      <c r="O629" s="11"/>
      <c r="P629" s="11"/>
    </row>
    <row r="630" spans="4:16" ht="12.75" customHeight="1" x14ac:dyDescent="0.35">
      <c r="D630" s="8"/>
      <c r="E630" s="9"/>
      <c r="F630" s="9"/>
      <c r="G630" s="12"/>
      <c r="H630" s="9"/>
      <c r="I630" s="9"/>
      <c r="J630" s="9"/>
      <c r="K630" s="9"/>
      <c r="L630" s="9"/>
      <c r="M630" s="11"/>
      <c r="N630" s="11"/>
      <c r="O630" s="11"/>
      <c r="P630" s="11"/>
    </row>
    <row r="631" spans="4:16" ht="12.75" customHeight="1" x14ac:dyDescent="0.35">
      <c r="D631" s="8"/>
      <c r="E631" s="9"/>
      <c r="F631" s="9"/>
      <c r="G631" s="12"/>
      <c r="H631" s="9"/>
      <c r="I631" s="9"/>
      <c r="J631" s="9"/>
      <c r="K631" s="9"/>
      <c r="L631" s="9"/>
      <c r="M631" s="11"/>
      <c r="N631" s="11"/>
      <c r="O631" s="11"/>
      <c r="P631" s="11"/>
    </row>
    <row r="632" spans="4:16" ht="12.75" customHeight="1" x14ac:dyDescent="0.35">
      <c r="D632" s="8"/>
      <c r="E632" s="9"/>
      <c r="F632" s="9"/>
      <c r="G632" s="12"/>
      <c r="H632" s="9"/>
      <c r="I632" s="9"/>
      <c r="J632" s="9"/>
      <c r="K632" s="9"/>
      <c r="L632" s="9"/>
      <c r="M632" s="11"/>
      <c r="N632" s="11"/>
      <c r="O632" s="11"/>
      <c r="P632" s="11"/>
    </row>
    <row r="633" spans="4:16" ht="12.75" customHeight="1" x14ac:dyDescent="0.35">
      <c r="D633" s="8"/>
      <c r="E633" s="9"/>
      <c r="F633" s="9"/>
      <c r="G633" s="12"/>
      <c r="H633" s="9"/>
      <c r="I633" s="9"/>
      <c r="J633" s="9"/>
      <c r="K633" s="9"/>
      <c r="L633" s="9"/>
      <c r="M633" s="11"/>
      <c r="N633" s="11"/>
      <c r="O633" s="11"/>
      <c r="P633" s="11"/>
    </row>
    <row r="634" spans="4:16" ht="12.75" customHeight="1" x14ac:dyDescent="0.35">
      <c r="D634" s="8"/>
      <c r="E634" s="9"/>
      <c r="F634" s="9"/>
      <c r="G634" s="12"/>
      <c r="H634" s="9"/>
      <c r="I634" s="9"/>
      <c r="J634" s="9"/>
      <c r="K634" s="9"/>
      <c r="L634" s="9"/>
      <c r="M634" s="11"/>
      <c r="N634" s="11"/>
      <c r="O634" s="11"/>
      <c r="P634" s="11"/>
    </row>
    <row r="635" spans="4:16" ht="12.75" customHeight="1" x14ac:dyDescent="0.35">
      <c r="D635" s="8"/>
      <c r="E635" s="9"/>
      <c r="F635" s="9"/>
      <c r="G635" s="12"/>
      <c r="H635" s="9"/>
      <c r="I635" s="9"/>
      <c r="J635" s="9"/>
      <c r="K635" s="9"/>
      <c r="L635" s="9"/>
      <c r="M635" s="11"/>
      <c r="N635" s="11"/>
      <c r="O635" s="11"/>
      <c r="P635" s="11"/>
    </row>
    <row r="636" spans="4:16" ht="12.75" customHeight="1" x14ac:dyDescent="0.35">
      <c r="D636" s="8"/>
      <c r="E636" s="9"/>
      <c r="F636" s="9"/>
      <c r="G636" s="12"/>
      <c r="H636" s="9"/>
      <c r="I636" s="9"/>
      <c r="J636" s="9"/>
      <c r="K636" s="9"/>
      <c r="L636" s="9"/>
      <c r="M636" s="11"/>
      <c r="N636" s="11"/>
      <c r="O636" s="11"/>
      <c r="P636" s="11"/>
    </row>
    <row r="637" spans="4:16" ht="12.75" customHeight="1" x14ac:dyDescent="0.35">
      <c r="D637" s="8"/>
      <c r="E637" s="9"/>
      <c r="F637" s="9"/>
      <c r="G637" s="12"/>
      <c r="H637" s="9"/>
      <c r="I637" s="9"/>
      <c r="J637" s="9"/>
      <c r="K637" s="9"/>
      <c r="L637" s="9"/>
      <c r="M637" s="11"/>
      <c r="N637" s="11"/>
      <c r="O637" s="11"/>
      <c r="P637" s="11"/>
    </row>
    <row r="638" spans="4:16" ht="12.75" customHeight="1" x14ac:dyDescent="0.35">
      <c r="D638" s="8"/>
      <c r="E638" s="9"/>
      <c r="F638" s="9"/>
      <c r="G638" s="12"/>
      <c r="H638" s="9"/>
      <c r="I638" s="9"/>
      <c r="J638" s="9"/>
      <c r="K638" s="9"/>
      <c r="L638" s="9"/>
      <c r="M638" s="11"/>
      <c r="N638" s="11"/>
      <c r="O638" s="11"/>
      <c r="P638" s="11"/>
    </row>
    <row r="639" spans="4:16" ht="12.75" customHeight="1" x14ac:dyDescent="0.35">
      <c r="D639" s="8"/>
      <c r="E639" s="9"/>
      <c r="F639" s="9"/>
      <c r="G639" s="12"/>
      <c r="H639" s="9"/>
      <c r="I639" s="9"/>
      <c r="J639" s="9"/>
      <c r="K639" s="9"/>
      <c r="L639" s="9"/>
      <c r="M639" s="11"/>
      <c r="N639" s="11"/>
      <c r="O639" s="11"/>
      <c r="P639" s="11"/>
    </row>
    <row r="640" spans="4:16" ht="12.75" customHeight="1" x14ac:dyDescent="0.35">
      <c r="D640" s="8"/>
      <c r="E640" s="9"/>
      <c r="F640" s="9"/>
      <c r="G640" s="12"/>
      <c r="H640" s="9"/>
      <c r="I640" s="9"/>
      <c r="J640" s="9"/>
      <c r="K640" s="9"/>
      <c r="L640" s="9"/>
      <c r="M640" s="11"/>
      <c r="N640" s="11"/>
      <c r="O640" s="11"/>
      <c r="P640" s="11"/>
    </row>
    <row r="641" spans="4:16" ht="12.75" customHeight="1" x14ac:dyDescent="0.35">
      <c r="D641" s="8"/>
      <c r="E641" s="9"/>
      <c r="F641" s="9"/>
      <c r="G641" s="12"/>
      <c r="H641" s="9"/>
      <c r="I641" s="9"/>
      <c r="J641" s="9"/>
      <c r="K641" s="9"/>
      <c r="L641" s="9"/>
      <c r="M641" s="11"/>
      <c r="N641" s="11"/>
      <c r="O641" s="11"/>
      <c r="P641" s="11"/>
    </row>
    <row r="642" spans="4:16" ht="12.75" customHeight="1" x14ac:dyDescent="0.35">
      <c r="D642" s="8"/>
      <c r="E642" s="9"/>
      <c r="F642" s="9"/>
      <c r="G642" s="12"/>
      <c r="H642" s="9"/>
      <c r="I642" s="9"/>
      <c r="J642" s="9"/>
      <c r="K642" s="9"/>
      <c r="L642" s="9"/>
      <c r="M642" s="11"/>
      <c r="N642" s="11"/>
      <c r="O642" s="11"/>
      <c r="P642" s="11"/>
    </row>
    <row r="643" spans="4:16" ht="12.75" customHeight="1" x14ac:dyDescent="0.35">
      <c r="D643" s="8"/>
      <c r="E643" s="9"/>
      <c r="F643" s="9"/>
      <c r="G643" s="12"/>
      <c r="H643" s="9"/>
      <c r="I643" s="9"/>
      <c r="J643" s="9"/>
      <c r="K643" s="9"/>
      <c r="L643" s="9"/>
      <c r="M643" s="11"/>
      <c r="N643" s="11"/>
      <c r="O643" s="11"/>
      <c r="P643" s="11"/>
    </row>
    <row r="644" spans="4:16" ht="12.75" customHeight="1" x14ac:dyDescent="0.35">
      <c r="D644" s="8"/>
      <c r="E644" s="9"/>
      <c r="F644" s="9"/>
      <c r="G644" s="12"/>
      <c r="H644" s="9"/>
      <c r="I644" s="9"/>
      <c r="J644" s="9"/>
      <c r="K644" s="9"/>
      <c r="L644" s="9"/>
      <c r="M644" s="11"/>
      <c r="N644" s="11"/>
      <c r="O644" s="11"/>
      <c r="P644" s="11"/>
    </row>
    <row r="645" spans="4:16" ht="12.75" customHeight="1" x14ac:dyDescent="0.35">
      <c r="D645" s="8"/>
      <c r="E645" s="9"/>
      <c r="F645" s="9"/>
      <c r="G645" s="12"/>
      <c r="H645" s="9"/>
      <c r="I645" s="9"/>
      <c r="J645" s="9"/>
      <c r="K645" s="9"/>
      <c r="L645" s="9"/>
      <c r="M645" s="11"/>
      <c r="N645" s="11"/>
      <c r="O645" s="11"/>
      <c r="P645" s="11"/>
    </row>
    <row r="646" spans="4:16" ht="12.75" customHeight="1" x14ac:dyDescent="0.35">
      <c r="D646" s="8"/>
      <c r="E646" s="9"/>
      <c r="F646" s="9"/>
      <c r="G646" s="12"/>
      <c r="H646" s="9"/>
      <c r="I646" s="9"/>
      <c r="J646" s="9"/>
      <c r="K646" s="9"/>
      <c r="L646" s="9"/>
      <c r="M646" s="11"/>
      <c r="N646" s="11"/>
      <c r="O646" s="11"/>
      <c r="P646" s="11"/>
    </row>
    <row r="647" spans="4:16" ht="12.75" customHeight="1" x14ac:dyDescent="0.35">
      <c r="D647" s="8"/>
      <c r="E647" s="9"/>
      <c r="F647" s="9"/>
      <c r="G647" s="12"/>
      <c r="H647" s="9"/>
      <c r="I647" s="9"/>
      <c r="J647" s="9"/>
      <c r="K647" s="9"/>
      <c r="L647" s="9"/>
      <c r="M647" s="11"/>
      <c r="N647" s="11"/>
      <c r="O647" s="11"/>
      <c r="P647" s="11"/>
    </row>
    <row r="648" spans="4:16" ht="12.75" customHeight="1" x14ac:dyDescent="0.35">
      <c r="D648" s="8"/>
      <c r="E648" s="9"/>
      <c r="F648" s="9"/>
      <c r="G648" s="12"/>
      <c r="H648" s="9"/>
      <c r="I648" s="9"/>
      <c r="J648" s="9"/>
      <c r="K648" s="9"/>
      <c r="L648" s="9"/>
      <c r="M648" s="11"/>
      <c r="N648" s="11"/>
      <c r="O648" s="11"/>
      <c r="P648" s="11"/>
    </row>
    <row r="649" spans="4:16" ht="12.75" customHeight="1" x14ac:dyDescent="0.35">
      <c r="D649" s="8"/>
      <c r="E649" s="9"/>
      <c r="F649" s="9"/>
      <c r="G649" s="12"/>
      <c r="H649" s="9"/>
      <c r="I649" s="9"/>
      <c r="J649" s="9"/>
      <c r="K649" s="9"/>
      <c r="L649" s="9"/>
      <c r="M649" s="11"/>
      <c r="N649" s="11"/>
      <c r="O649" s="11"/>
      <c r="P649" s="11"/>
    </row>
    <row r="650" spans="4:16" ht="12.75" customHeight="1" x14ac:dyDescent="0.35">
      <c r="D650" s="8"/>
      <c r="E650" s="9"/>
      <c r="F650" s="9"/>
      <c r="G650" s="12"/>
      <c r="H650" s="9"/>
      <c r="I650" s="9"/>
      <c r="J650" s="9"/>
      <c r="K650" s="9"/>
      <c r="L650" s="9"/>
      <c r="M650" s="11"/>
      <c r="N650" s="11"/>
      <c r="O650" s="11"/>
      <c r="P650" s="11"/>
    </row>
    <row r="651" spans="4:16" ht="12.75" customHeight="1" x14ac:dyDescent="0.35">
      <c r="D651" s="8"/>
      <c r="E651" s="9"/>
      <c r="F651" s="9"/>
      <c r="G651" s="12"/>
      <c r="H651" s="9"/>
      <c r="I651" s="9"/>
      <c r="J651" s="9"/>
      <c r="K651" s="9"/>
      <c r="L651" s="9"/>
      <c r="M651" s="11"/>
      <c r="N651" s="11"/>
      <c r="O651" s="11"/>
      <c r="P651" s="11"/>
    </row>
    <row r="652" spans="4:16" ht="12.75" customHeight="1" x14ac:dyDescent="0.35">
      <c r="D652" s="8"/>
      <c r="E652" s="9"/>
      <c r="F652" s="9"/>
      <c r="G652" s="12"/>
      <c r="H652" s="9"/>
      <c r="I652" s="9"/>
      <c r="J652" s="9"/>
      <c r="K652" s="9"/>
      <c r="L652" s="9"/>
      <c r="M652" s="11"/>
      <c r="N652" s="11"/>
      <c r="O652" s="11"/>
      <c r="P652" s="11"/>
    </row>
    <row r="653" spans="4:16" ht="12.75" customHeight="1" x14ac:dyDescent="0.35">
      <c r="D653" s="8"/>
      <c r="E653" s="9"/>
      <c r="F653" s="9"/>
      <c r="G653" s="12"/>
      <c r="H653" s="9"/>
      <c r="I653" s="9"/>
      <c r="J653" s="9"/>
      <c r="K653" s="9"/>
      <c r="L653" s="9"/>
      <c r="M653" s="11"/>
      <c r="N653" s="11"/>
      <c r="O653" s="11"/>
      <c r="P653" s="11"/>
    </row>
    <row r="654" spans="4:16" ht="12.75" customHeight="1" x14ac:dyDescent="0.35">
      <c r="D654" s="8"/>
      <c r="E654" s="9"/>
      <c r="F654" s="9"/>
      <c r="G654" s="12"/>
      <c r="H654" s="9"/>
      <c r="I654" s="9"/>
      <c r="J654" s="9"/>
      <c r="K654" s="9"/>
      <c r="L654" s="9"/>
      <c r="M654" s="11"/>
      <c r="N654" s="11"/>
      <c r="O654" s="11"/>
      <c r="P654" s="11"/>
    </row>
    <row r="655" spans="4:16" ht="12.75" customHeight="1" x14ac:dyDescent="0.35">
      <c r="D655" s="8"/>
      <c r="E655" s="9"/>
      <c r="F655" s="9"/>
      <c r="G655" s="12"/>
      <c r="H655" s="9"/>
      <c r="I655" s="9"/>
      <c r="J655" s="9"/>
      <c r="K655" s="9"/>
      <c r="L655" s="9"/>
      <c r="M655" s="11"/>
      <c r="N655" s="11"/>
      <c r="O655" s="11"/>
      <c r="P655" s="11"/>
    </row>
    <row r="656" spans="4:16" ht="12.75" customHeight="1" x14ac:dyDescent="0.35">
      <c r="D656" s="8"/>
      <c r="E656" s="9"/>
      <c r="F656" s="9"/>
      <c r="G656" s="12"/>
      <c r="H656" s="9"/>
      <c r="I656" s="9"/>
      <c r="J656" s="9"/>
      <c r="K656" s="9"/>
      <c r="L656" s="9"/>
      <c r="M656" s="11"/>
      <c r="N656" s="11"/>
      <c r="O656" s="11"/>
      <c r="P656" s="11"/>
    </row>
    <row r="657" spans="4:16" ht="12.75" customHeight="1" x14ac:dyDescent="0.35">
      <c r="D657" s="8"/>
      <c r="E657" s="9"/>
      <c r="F657" s="9"/>
      <c r="G657" s="12"/>
      <c r="H657" s="9"/>
      <c r="I657" s="9"/>
      <c r="J657" s="9"/>
      <c r="K657" s="9"/>
      <c r="L657" s="9"/>
      <c r="M657" s="11"/>
      <c r="N657" s="11"/>
      <c r="O657" s="11"/>
      <c r="P657" s="11"/>
    </row>
    <row r="658" spans="4:16" ht="12.75" customHeight="1" x14ac:dyDescent="0.35">
      <c r="D658" s="8"/>
      <c r="E658" s="9"/>
      <c r="F658" s="9"/>
      <c r="G658" s="12"/>
      <c r="H658" s="9"/>
      <c r="I658" s="9"/>
      <c r="J658" s="9"/>
      <c r="K658" s="9"/>
      <c r="L658" s="9"/>
      <c r="M658" s="11"/>
      <c r="N658" s="11"/>
      <c r="O658" s="11"/>
      <c r="P658" s="11"/>
    </row>
    <row r="659" spans="4:16" ht="12.75" customHeight="1" x14ac:dyDescent="0.35">
      <c r="D659" s="8"/>
      <c r="E659" s="9"/>
      <c r="F659" s="9"/>
      <c r="G659" s="12"/>
      <c r="H659" s="9"/>
      <c r="I659" s="9"/>
      <c r="J659" s="9"/>
      <c r="K659" s="9"/>
      <c r="L659" s="9"/>
      <c r="M659" s="11"/>
      <c r="N659" s="11"/>
      <c r="O659" s="11"/>
      <c r="P659" s="11"/>
    </row>
    <row r="660" spans="4:16" ht="12.75" customHeight="1" x14ac:dyDescent="0.35">
      <c r="D660" s="8"/>
      <c r="E660" s="9"/>
      <c r="F660" s="9"/>
      <c r="G660" s="12"/>
      <c r="H660" s="9"/>
      <c r="I660" s="9"/>
      <c r="J660" s="9"/>
      <c r="K660" s="9"/>
      <c r="L660" s="9"/>
      <c r="M660" s="11"/>
      <c r="N660" s="11"/>
      <c r="O660" s="11"/>
      <c r="P660" s="11"/>
    </row>
    <row r="661" spans="4:16" ht="12.75" customHeight="1" x14ac:dyDescent="0.35">
      <c r="D661" s="8"/>
      <c r="E661" s="9"/>
      <c r="F661" s="9"/>
      <c r="G661" s="12"/>
      <c r="H661" s="9"/>
      <c r="I661" s="9"/>
      <c r="J661" s="9"/>
      <c r="K661" s="9"/>
      <c r="L661" s="9"/>
      <c r="M661" s="11"/>
      <c r="N661" s="11"/>
      <c r="O661" s="11"/>
      <c r="P661" s="11"/>
    </row>
    <row r="662" spans="4:16" ht="12.75" customHeight="1" x14ac:dyDescent="0.35">
      <c r="D662" s="8"/>
      <c r="E662" s="9"/>
      <c r="F662" s="9"/>
      <c r="G662" s="12"/>
      <c r="H662" s="9"/>
      <c r="I662" s="9"/>
      <c r="J662" s="9"/>
      <c r="K662" s="9"/>
      <c r="L662" s="9"/>
      <c r="M662" s="11"/>
      <c r="N662" s="11"/>
      <c r="O662" s="11"/>
      <c r="P662" s="11"/>
    </row>
    <row r="663" spans="4:16" ht="12.75" customHeight="1" x14ac:dyDescent="0.35">
      <c r="D663" s="8"/>
      <c r="E663" s="9"/>
      <c r="F663" s="9"/>
      <c r="G663" s="12"/>
      <c r="H663" s="9"/>
      <c r="I663" s="9"/>
      <c r="J663" s="9"/>
      <c r="K663" s="9"/>
      <c r="L663" s="9"/>
      <c r="M663" s="11"/>
      <c r="N663" s="11"/>
      <c r="O663" s="11"/>
      <c r="P663" s="11"/>
    </row>
    <row r="664" spans="4:16" ht="12.75" customHeight="1" x14ac:dyDescent="0.35">
      <c r="D664" s="8"/>
      <c r="E664" s="9"/>
      <c r="F664" s="9"/>
      <c r="G664" s="12"/>
      <c r="H664" s="9"/>
      <c r="I664" s="9"/>
      <c r="J664" s="9"/>
      <c r="K664" s="9"/>
      <c r="L664" s="9"/>
      <c r="M664" s="11"/>
      <c r="N664" s="11"/>
      <c r="O664" s="11"/>
      <c r="P664" s="11"/>
    </row>
    <row r="665" spans="4:16" ht="12.75" customHeight="1" x14ac:dyDescent="0.35">
      <c r="D665" s="8"/>
      <c r="E665" s="9"/>
      <c r="F665" s="9"/>
      <c r="G665" s="12"/>
      <c r="H665" s="9"/>
      <c r="I665" s="9"/>
      <c r="J665" s="9"/>
      <c r="K665" s="9"/>
      <c r="L665" s="9"/>
      <c r="M665" s="11"/>
      <c r="N665" s="11"/>
      <c r="O665" s="11"/>
      <c r="P665" s="11"/>
    </row>
    <row r="666" spans="4:16" ht="12.75" customHeight="1" x14ac:dyDescent="0.35">
      <c r="D666" s="8"/>
      <c r="E666" s="9"/>
      <c r="F666" s="9"/>
      <c r="G666" s="12"/>
      <c r="H666" s="9"/>
      <c r="I666" s="9"/>
      <c r="J666" s="9"/>
      <c r="K666" s="9"/>
      <c r="L666" s="9"/>
      <c r="M666" s="11"/>
      <c r="N666" s="11"/>
      <c r="O666" s="11"/>
      <c r="P666" s="11"/>
    </row>
    <row r="667" spans="4:16" ht="12.75" customHeight="1" x14ac:dyDescent="0.35">
      <c r="D667" s="8"/>
      <c r="E667" s="9"/>
      <c r="F667" s="9"/>
      <c r="G667" s="12"/>
      <c r="H667" s="9"/>
      <c r="I667" s="9"/>
      <c r="J667" s="9"/>
      <c r="K667" s="9"/>
      <c r="L667" s="9"/>
      <c r="M667" s="11"/>
      <c r="N667" s="11"/>
      <c r="O667" s="11"/>
      <c r="P667" s="11"/>
    </row>
    <row r="668" spans="4:16" ht="12.75" customHeight="1" x14ac:dyDescent="0.35">
      <c r="D668" s="8"/>
      <c r="E668" s="9"/>
      <c r="F668" s="9"/>
      <c r="G668" s="12"/>
      <c r="H668" s="9"/>
      <c r="I668" s="9"/>
      <c r="J668" s="9"/>
      <c r="K668" s="9"/>
      <c r="L668" s="9"/>
      <c r="M668" s="11"/>
      <c r="N668" s="11"/>
      <c r="O668" s="11"/>
      <c r="P668" s="11"/>
    </row>
    <row r="669" spans="4:16" ht="12.75" customHeight="1" x14ac:dyDescent="0.35">
      <c r="D669" s="8"/>
      <c r="E669" s="9"/>
      <c r="F669" s="9"/>
      <c r="G669" s="12"/>
      <c r="H669" s="9"/>
      <c r="I669" s="9"/>
      <c r="J669" s="9"/>
      <c r="K669" s="9"/>
      <c r="L669" s="9"/>
      <c r="M669" s="11"/>
      <c r="N669" s="11"/>
      <c r="O669" s="11"/>
      <c r="P669" s="11"/>
    </row>
    <row r="670" spans="4:16" ht="12.75" customHeight="1" x14ac:dyDescent="0.35">
      <c r="D670" s="8"/>
      <c r="E670" s="9"/>
      <c r="F670" s="9"/>
      <c r="G670" s="12"/>
      <c r="H670" s="9"/>
      <c r="I670" s="9"/>
      <c r="J670" s="9"/>
      <c r="K670" s="9"/>
      <c r="L670" s="9"/>
      <c r="M670" s="11"/>
      <c r="N670" s="11"/>
      <c r="O670" s="11"/>
      <c r="P670" s="11"/>
    </row>
    <row r="671" spans="4:16" ht="12.75" customHeight="1" x14ac:dyDescent="0.35">
      <c r="D671" s="8"/>
      <c r="E671" s="9"/>
      <c r="F671" s="9"/>
      <c r="G671" s="12"/>
      <c r="H671" s="9"/>
      <c r="I671" s="9"/>
      <c r="J671" s="9"/>
      <c r="K671" s="9"/>
      <c r="L671" s="9"/>
      <c r="M671" s="11"/>
      <c r="N671" s="11"/>
      <c r="O671" s="11"/>
      <c r="P671" s="11"/>
    </row>
    <row r="672" spans="4:16" ht="12.75" customHeight="1" x14ac:dyDescent="0.35">
      <c r="D672" s="8"/>
      <c r="E672" s="9"/>
      <c r="F672" s="9"/>
      <c r="G672" s="12"/>
      <c r="H672" s="9"/>
      <c r="I672" s="9"/>
      <c r="J672" s="9"/>
      <c r="K672" s="9"/>
      <c r="L672" s="9"/>
      <c r="M672" s="11"/>
      <c r="N672" s="11"/>
      <c r="O672" s="11"/>
      <c r="P672" s="11"/>
    </row>
    <row r="673" spans="4:16" ht="12.75" customHeight="1" x14ac:dyDescent="0.35">
      <c r="D673" s="8"/>
      <c r="E673" s="9"/>
      <c r="F673" s="9"/>
      <c r="G673" s="12"/>
      <c r="H673" s="9"/>
      <c r="I673" s="9"/>
      <c r="J673" s="9"/>
      <c r="K673" s="9"/>
      <c r="L673" s="9"/>
      <c r="M673" s="11"/>
      <c r="N673" s="11"/>
      <c r="O673" s="11"/>
      <c r="P673" s="11"/>
    </row>
    <row r="674" spans="4:16" ht="12.75" customHeight="1" x14ac:dyDescent="0.35">
      <c r="D674" s="8"/>
      <c r="E674" s="9"/>
      <c r="F674" s="9"/>
      <c r="G674" s="12"/>
      <c r="H674" s="9"/>
      <c r="I674" s="9"/>
      <c r="J674" s="9"/>
      <c r="K674" s="9"/>
      <c r="L674" s="9"/>
      <c r="M674" s="11"/>
      <c r="N674" s="11"/>
      <c r="O674" s="11"/>
      <c r="P674" s="11"/>
    </row>
    <row r="675" spans="4:16" ht="12.75" customHeight="1" x14ac:dyDescent="0.35">
      <c r="D675" s="8"/>
      <c r="E675" s="9"/>
      <c r="F675" s="9"/>
      <c r="G675" s="12"/>
      <c r="H675" s="9"/>
      <c r="I675" s="9"/>
      <c r="J675" s="9"/>
      <c r="K675" s="9"/>
      <c r="L675" s="9"/>
      <c r="M675" s="11"/>
      <c r="N675" s="11"/>
      <c r="O675" s="11"/>
      <c r="P675" s="11"/>
    </row>
    <row r="676" spans="4:16" ht="12.75" customHeight="1" x14ac:dyDescent="0.35">
      <c r="D676" s="8"/>
      <c r="E676" s="9"/>
      <c r="F676" s="9"/>
      <c r="G676" s="12"/>
      <c r="H676" s="9"/>
      <c r="I676" s="9"/>
      <c r="J676" s="9"/>
      <c r="K676" s="9"/>
      <c r="L676" s="9"/>
      <c r="M676" s="11"/>
      <c r="N676" s="11"/>
      <c r="O676" s="11"/>
      <c r="P676" s="11"/>
    </row>
    <row r="677" spans="4:16" ht="12.75" customHeight="1" x14ac:dyDescent="0.35">
      <c r="D677" s="8"/>
      <c r="E677" s="9"/>
      <c r="F677" s="9"/>
      <c r="G677" s="12"/>
      <c r="H677" s="9"/>
      <c r="I677" s="9"/>
      <c r="J677" s="9"/>
      <c r="K677" s="9"/>
      <c r="L677" s="9"/>
      <c r="M677" s="11"/>
      <c r="N677" s="11"/>
      <c r="O677" s="11"/>
      <c r="P677" s="11"/>
    </row>
    <row r="678" spans="4:16" ht="12.75" customHeight="1" x14ac:dyDescent="0.35">
      <c r="D678" s="8"/>
      <c r="E678" s="9"/>
      <c r="F678" s="9"/>
      <c r="G678" s="12"/>
      <c r="H678" s="9"/>
      <c r="I678" s="9"/>
      <c r="J678" s="9"/>
      <c r="K678" s="9"/>
      <c r="L678" s="9"/>
      <c r="M678" s="11"/>
      <c r="N678" s="11"/>
      <c r="O678" s="11"/>
      <c r="P678" s="11"/>
    </row>
    <row r="679" spans="4:16" ht="12.75" customHeight="1" x14ac:dyDescent="0.35">
      <c r="D679" s="8"/>
      <c r="E679" s="9"/>
      <c r="F679" s="9"/>
      <c r="G679" s="12"/>
      <c r="H679" s="9"/>
      <c r="I679" s="9"/>
      <c r="J679" s="9"/>
      <c r="K679" s="9"/>
      <c r="L679" s="9"/>
      <c r="M679" s="11"/>
      <c r="N679" s="11"/>
      <c r="O679" s="11"/>
      <c r="P679" s="11"/>
    </row>
    <row r="680" spans="4:16" ht="12.75" customHeight="1" x14ac:dyDescent="0.35">
      <c r="D680" s="8"/>
      <c r="E680" s="9"/>
      <c r="F680" s="9"/>
      <c r="G680" s="12"/>
      <c r="H680" s="9"/>
      <c r="I680" s="9"/>
      <c r="J680" s="9"/>
      <c r="K680" s="9"/>
      <c r="L680" s="9"/>
      <c r="M680" s="11"/>
      <c r="N680" s="11"/>
      <c r="O680" s="11"/>
      <c r="P680" s="11"/>
    </row>
    <row r="681" spans="4:16" ht="12.75" customHeight="1" x14ac:dyDescent="0.35">
      <c r="D681" s="8"/>
      <c r="E681" s="9"/>
      <c r="F681" s="9"/>
      <c r="G681" s="12"/>
      <c r="H681" s="9"/>
      <c r="I681" s="9"/>
      <c r="J681" s="9"/>
      <c r="K681" s="9"/>
      <c r="L681" s="9"/>
      <c r="M681" s="11"/>
      <c r="N681" s="11"/>
      <c r="O681" s="11"/>
      <c r="P681" s="11"/>
    </row>
    <row r="682" spans="4:16" ht="12.75" customHeight="1" x14ac:dyDescent="0.35">
      <c r="D682" s="8"/>
      <c r="E682" s="9"/>
      <c r="F682" s="9"/>
      <c r="G682" s="12"/>
      <c r="H682" s="9"/>
      <c r="I682" s="9"/>
      <c r="J682" s="9"/>
      <c r="K682" s="9"/>
      <c r="L682" s="9"/>
      <c r="M682" s="11"/>
      <c r="N682" s="11"/>
      <c r="O682" s="11"/>
      <c r="P682" s="11"/>
    </row>
    <row r="683" spans="4:16" ht="12.75" customHeight="1" x14ac:dyDescent="0.35">
      <c r="D683" s="8"/>
      <c r="E683" s="9"/>
      <c r="F683" s="9"/>
      <c r="G683" s="12"/>
      <c r="H683" s="9"/>
      <c r="I683" s="9"/>
      <c r="J683" s="9"/>
      <c r="K683" s="9"/>
      <c r="L683" s="9"/>
      <c r="M683" s="11"/>
      <c r="N683" s="11"/>
      <c r="O683" s="11"/>
      <c r="P683" s="11"/>
    </row>
    <row r="684" spans="4:16" ht="12.75" customHeight="1" x14ac:dyDescent="0.35">
      <c r="D684" s="8"/>
      <c r="E684" s="9"/>
      <c r="F684" s="9"/>
      <c r="G684" s="12"/>
      <c r="H684" s="9"/>
      <c r="I684" s="9"/>
      <c r="J684" s="9"/>
      <c r="K684" s="9"/>
      <c r="L684" s="9"/>
      <c r="M684" s="11"/>
      <c r="N684" s="11"/>
      <c r="O684" s="11"/>
      <c r="P684" s="11"/>
    </row>
    <row r="685" spans="4:16" ht="12.75" customHeight="1" x14ac:dyDescent="0.35">
      <c r="D685" s="8"/>
      <c r="E685" s="9"/>
      <c r="F685" s="9"/>
      <c r="G685" s="12"/>
      <c r="H685" s="9"/>
      <c r="I685" s="9"/>
      <c r="J685" s="9"/>
      <c r="K685" s="9"/>
      <c r="L685" s="9"/>
      <c r="M685" s="11"/>
      <c r="N685" s="11"/>
      <c r="O685" s="11"/>
      <c r="P685" s="11"/>
    </row>
    <row r="686" spans="4:16" ht="12.75" customHeight="1" x14ac:dyDescent="0.35">
      <c r="D686" s="8"/>
      <c r="E686" s="9"/>
      <c r="F686" s="9"/>
      <c r="G686" s="12"/>
      <c r="H686" s="9"/>
      <c r="I686" s="9"/>
      <c r="J686" s="9"/>
      <c r="K686" s="9"/>
      <c r="L686" s="9"/>
      <c r="M686" s="11"/>
      <c r="N686" s="11"/>
      <c r="O686" s="11"/>
      <c r="P686" s="11"/>
    </row>
    <row r="687" spans="4:16" ht="12.75" customHeight="1" x14ac:dyDescent="0.35">
      <c r="D687" s="8"/>
      <c r="E687" s="9"/>
      <c r="F687" s="9"/>
      <c r="G687" s="12"/>
      <c r="H687" s="9"/>
      <c r="I687" s="9"/>
      <c r="J687" s="9"/>
      <c r="K687" s="9"/>
      <c r="L687" s="9"/>
      <c r="M687" s="11"/>
      <c r="N687" s="11"/>
      <c r="O687" s="11"/>
      <c r="P687" s="11"/>
    </row>
    <row r="688" spans="4:16" ht="12.75" customHeight="1" x14ac:dyDescent="0.35">
      <c r="D688" s="8"/>
      <c r="E688" s="9"/>
      <c r="F688" s="9"/>
      <c r="G688" s="12"/>
      <c r="H688" s="9"/>
      <c r="I688" s="9"/>
      <c r="J688" s="9"/>
      <c r="K688" s="9"/>
      <c r="L688" s="9"/>
      <c r="M688" s="11"/>
      <c r="N688" s="11"/>
      <c r="O688" s="11"/>
      <c r="P688" s="11"/>
    </row>
    <row r="689" spans="4:16" ht="12.75" customHeight="1" x14ac:dyDescent="0.35">
      <c r="D689" s="8"/>
      <c r="E689" s="9"/>
      <c r="F689" s="9"/>
      <c r="G689" s="12"/>
      <c r="H689" s="9"/>
      <c r="I689" s="9"/>
      <c r="J689" s="9"/>
      <c r="K689" s="9"/>
      <c r="L689" s="9"/>
      <c r="M689" s="11"/>
      <c r="N689" s="11"/>
      <c r="O689" s="11"/>
      <c r="P689" s="11"/>
    </row>
    <row r="690" spans="4:16" ht="12.75" customHeight="1" x14ac:dyDescent="0.35">
      <c r="D690" s="8"/>
      <c r="E690" s="9"/>
      <c r="F690" s="9"/>
      <c r="G690" s="12"/>
      <c r="H690" s="9"/>
      <c r="I690" s="9"/>
      <c r="J690" s="9"/>
      <c r="K690" s="9"/>
      <c r="L690" s="9"/>
      <c r="M690" s="11"/>
      <c r="N690" s="11"/>
      <c r="O690" s="11"/>
      <c r="P690" s="11"/>
    </row>
    <row r="691" spans="4:16" ht="12.75" customHeight="1" x14ac:dyDescent="0.35">
      <c r="D691" s="8"/>
      <c r="E691" s="9"/>
      <c r="F691" s="9"/>
      <c r="G691" s="12"/>
      <c r="H691" s="9"/>
      <c r="I691" s="9"/>
      <c r="J691" s="9"/>
      <c r="K691" s="9"/>
      <c r="L691" s="9"/>
      <c r="M691" s="11"/>
      <c r="N691" s="11"/>
      <c r="O691" s="11"/>
      <c r="P691" s="11"/>
    </row>
    <row r="692" spans="4:16" ht="12.75" customHeight="1" x14ac:dyDescent="0.35">
      <c r="D692" s="8"/>
      <c r="E692" s="9"/>
      <c r="F692" s="9"/>
      <c r="G692" s="12"/>
      <c r="H692" s="9"/>
      <c r="I692" s="9"/>
      <c r="J692" s="9"/>
      <c r="K692" s="9"/>
      <c r="L692" s="9"/>
      <c r="M692" s="11"/>
      <c r="N692" s="11"/>
      <c r="O692" s="11"/>
      <c r="P692" s="11"/>
    </row>
    <row r="693" spans="4:16" ht="12.75" customHeight="1" x14ac:dyDescent="0.35">
      <c r="D693" s="8"/>
      <c r="E693" s="9"/>
      <c r="F693" s="9"/>
      <c r="G693" s="12"/>
      <c r="H693" s="9"/>
      <c r="I693" s="9"/>
      <c r="J693" s="9"/>
      <c r="K693" s="9"/>
      <c r="L693" s="9"/>
      <c r="M693" s="11"/>
      <c r="N693" s="11"/>
      <c r="O693" s="11"/>
      <c r="P693" s="11"/>
    </row>
    <row r="694" spans="4:16" ht="12.75" customHeight="1" x14ac:dyDescent="0.35">
      <c r="D694" s="8"/>
      <c r="E694" s="9"/>
      <c r="F694" s="9"/>
      <c r="G694" s="12"/>
      <c r="H694" s="9"/>
      <c r="I694" s="9"/>
      <c r="J694" s="9"/>
      <c r="K694" s="9"/>
      <c r="L694" s="9"/>
      <c r="M694" s="11"/>
      <c r="N694" s="11"/>
      <c r="O694" s="11"/>
      <c r="P694" s="11"/>
    </row>
    <row r="695" spans="4:16" ht="12.75" customHeight="1" x14ac:dyDescent="0.35">
      <c r="D695" s="8"/>
      <c r="E695" s="9"/>
      <c r="F695" s="9"/>
      <c r="G695" s="12"/>
      <c r="H695" s="9"/>
      <c r="I695" s="9"/>
      <c r="J695" s="9"/>
      <c r="K695" s="9"/>
      <c r="L695" s="9"/>
      <c r="M695" s="11"/>
      <c r="N695" s="11"/>
      <c r="O695" s="11"/>
      <c r="P695" s="11"/>
    </row>
    <row r="696" spans="4:16" ht="12.75" customHeight="1" x14ac:dyDescent="0.35">
      <c r="D696" s="8"/>
      <c r="E696" s="9"/>
      <c r="F696" s="9"/>
      <c r="G696" s="12"/>
      <c r="H696" s="9"/>
      <c r="I696" s="9"/>
      <c r="J696" s="9"/>
      <c r="K696" s="9"/>
      <c r="L696" s="9"/>
      <c r="M696" s="11"/>
      <c r="N696" s="11"/>
      <c r="O696" s="11"/>
      <c r="P696" s="11"/>
    </row>
    <row r="697" spans="4:16" ht="12.75" customHeight="1" x14ac:dyDescent="0.35">
      <c r="D697" s="8"/>
      <c r="E697" s="9"/>
      <c r="F697" s="9"/>
      <c r="G697" s="12"/>
      <c r="H697" s="9"/>
      <c r="I697" s="9"/>
      <c r="J697" s="9"/>
      <c r="K697" s="9"/>
      <c r="L697" s="9"/>
      <c r="M697" s="11"/>
      <c r="N697" s="11"/>
      <c r="O697" s="11"/>
      <c r="P697" s="11"/>
    </row>
    <row r="698" spans="4:16" ht="12.75" customHeight="1" x14ac:dyDescent="0.35">
      <c r="D698" s="8"/>
      <c r="E698" s="9"/>
      <c r="F698" s="9"/>
      <c r="G698" s="12"/>
      <c r="H698" s="9"/>
      <c r="I698" s="9"/>
      <c r="J698" s="9"/>
      <c r="K698" s="9"/>
      <c r="L698" s="9"/>
      <c r="M698" s="11"/>
      <c r="N698" s="11"/>
      <c r="O698" s="11"/>
      <c r="P698" s="11"/>
    </row>
    <row r="699" spans="4:16" ht="12.75" customHeight="1" x14ac:dyDescent="0.35">
      <c r="D699" s="8"/>
      <c r="E699" s="9"/>
      <c r="F699" s="9"/>
      <c r="G699" s="12"/>
      <c r="H699" s="9"/>
      <c r="I699" s="9"/>
      <c r="J699" s="9"/>
      <c r="K699" s="9"/>
      <c r="L699" s="9"/>
      <c r="M699" s="11"/>
      <c r="N699" s="11"/>
      <c r="O699" s="11"/>
      <c r="P699" s="11"/>
    </row>
    <row r="700" spans="4:16" ht="12.75" customHeight="1" x14ac:dyDescent="0.35">
      <c r="D700" s="8"/>
      <c r="E700" s="9"/>
      <c r="F700" s="9"/>
      <c r="G700" s="12"/>
      <c r="H700" s="9"/>
      <c r="I700" s="9"/>
      <c r="J700" s="9"/>
      <c r="K700" s="9"/>
      <c r="L700" s="9"/>
      <c r="M700" s="11"/>
      <c r="N700" s="11"/>
      <c r="O700" s="11"/>
      <c r="P700" s="11"/>
    </row>
    <row r="701" spans="4:16" ht="12.75" customHeight="1" x14ac:dyDescent="0.35">
      <c r="D701" s="8"/>
      <c r="E701" s="9"/>
      <c r="F701" s="9"/>
      <c r="G701" s="12"/>
      <c r="H701" s="9"/>
      <c r="I701" s="9"/>
      <c r="J701" s="9"/>
      <c r="K701" s="9"/>
      <c r="L701" s="9"/>
      <c r="M701" s="11"/>
      <c r="N701" s="11"/>
      <c r="O701" s="11"/>
      <c r="P701" s="11"/>
    </row>
    <row r="702" spans="4:16" ht="12.75" customHeight="1" x14ac:dyDescent="0.35">
      <c r="D702" s="8"/>
      <c r="E702" s="9"/>
      <c r="F702" s="9"/>
      <c r="G702" s="12"/>
      <c r="H702" s="9"/>
      <c r="I702" s="9"/>
      <c r="J702" s="9"/>
      <c r="K702" s="9"/>
      <c r="L702" s="9"/>
      <c r="M702" s="11"/>
      <c r="N702" s="11"/>
      <c r="O702" s="11"/>
      <c r="P702" s="11"/>
    </row>
    <row r="703" spans="4:16" ht="12.75" customHeight="1" x14ac:dyDescent="0.35">
      <c r="D703" s="8"/>
      <c r="E703" s="9"/>
      <c r="F703" s="9"/>
      <c r="G703" s="12"/>
      <c r="H703" s="9"/>
      <c r="I703" s="9"/>
      <c r="J703" s="9"/>
      <c r="K703" s="9"/>
      <c r="L703" s="9"/>
      <c r="M703" s="11"/>
      <c r="N703" s="11"/>
      <c r="O703" s="11"/>
      <c r="P703" s="11"/>
    </row>
    <row r="704" spans="4:16" ht="12.75" customHeight="1" x14ac:dyDescent="0.35">
      <c r="D704" s="8"/>
      <c r="E704" s="9"/>
      <c r="F704" s="9"/>
      <c r="G704" s="12"/>
      <c r="H704" s="9"/>
      <c r="I704" s="9"/>
      <c r="J704" s="9"/>
      <c r="K704" s="9"/>
      <c r="L704" s="9"/>
      <c r="M704" s="11"/>
      <c r="N704" s="11"/>
      <c r="O704" s="11"/>
      <c r="P704" s="11"/>
    </row>
    <row r="705" spans="4:16" ht="12.75" customHeight="1" x14ac:dyDescent="0.35">
      <c r="D705" s="8"/>
      <c r="E705" s="9"/>
      <c r="F705" s="9"/>
      <c r="G705" s="12"/>
      <c r="H705" s="9"/>
      <c r="I705" s="9"/>
      <c r="J705" s="9"/>
      <c r="K705" s="9"/>
      <c r="L705" s="9"/>
      <c r="M705" s="11"/>
      <c r="N705" s="11"/>
      <c r="O705" s="11"/>
      <c r="P705" s="11"/>
    </row>
    <row r="706" spans="4:16" ht="12.75" customHeight="1" x14ac:dyDescent="0.35">
      <c r="D706" s="8"/>
      <c r="E706" s="9"/>
      <c r="F706" s="9"/>
      <c r="G706" s="12"/>
      <c r="H706" s="9"/>
      <c r="I706" s="9"/>
      <c r="J706" s="9"/>
      <c r="K706" s="9"/>
      <c r="L706" s="9"/>
      <c r="M706" s="11"/>
      <c r="N706" s="11"/>
      <c r="O706" s="11"/>
      <c r="P706" s="11"/>
    </row>
    <row r="707" spans="4:16" ht="12.75" customHeight="1" x14ac:dyDescent="0.35">
      <c r="D707" s="8"/>
      <c r="E707" s="9"/>
      <c r="F707" s="9"/>
      <c r="G707" s="12"/>
      <c r="H707" s="9"/>
      <c r="I707" s="9"/>
      <c r="J707" s="9"/>
      <c r="K707" s="9"/>
      <c r="L707" s="9"/>
      <c r="M707" s="11"/>
      <c r="N707" s="11"/>
      <c r="O707" s="11"/>
      <c r="P707" s="11"/>
    </row>
    <row r="708" spans="4:16" ht="12.75" customHeight="1" x14ac:dyDescent="0.35">
      <c r="D708" s="8"/>
      <c r="E708" s="9"/>
      <c r="F708" s="9"/>
      <c r="G708" s="12"/>
      <c r="H708" s="9"/>
      <c r="I708" s="9"/>
      <c r="J708" s="9"/>
      <c r="K708" s="9"/>
      <c r="L708" s="9"/>
      <c r="M708" s="11"/>
      <c r="N708" s="11"/>
      <c r="O708" s="11"/>
      <c r="P708" s="11"/>
    </row>
    <row r="709" spans="4:16" ht="12.75" customHeight="1" x14ac:dyDescent="0.35">
      <c r="D709" s="8"/>
      <c r="E709" s="9"/>
      <c r="F709" s="9"/>
      <c r="G709" s="12"/>
      <c r="H709" s="9"/>
      <c r="I709" s="9"/>
      <c r="J709" s="9"/>
      <c r="K709" s="9"/>
      <c r="L709" s="9"/>
      <c r="M709" s="11"/>
      <c r="N709" s="11"/>
      <c r="O709" s="11"/>
      <c r="P709" s="11"/>
    </row>
    <row r="710" spans="4:16" ht="12.75" customHeight="1" x14ac:dyDescent="0.35">
      <c r="D710" s="8"/>
      <c r="E710" s="9"/>
      <c r="F710" s="9"/>
      <c r="G710" s="12"/>
      <c r="H710" s="9"/>
      <c r="I710" s="9"/>
      <c r="J710" s="9"/>
      <c r="K710" s="9"/>
      <c r="L710" s="9"/>
      <c r="M710" s="11"/>
      <c r="N710" s="11"/>
      <c r="O710" s="11"/>
      <c r="P710" s="11"/>
    </row>
    <row r="711" spans="4:16" ht="12.75" customHeight="1" x14ac:dyDescent="0.35">
      <c r="D711" s="8"/>
      <c r="E711" s="9"/>
      <c r="F711" s="9"/>
      <c r="G711" s="12"/>
      <c r="H711" s="9"/>
      <c r="I711" s="9"/>
      <c r="J711" s="9"/>
      <c r="K711" s="9"/>
      <c r="L711" s="9"/>
      <c r="M711" s="11"/>
      <c r="N711" s="11"/>
      <c r="O711" s="11"/>
      <c r="P711" s="11"/>
    </row>
    <row r="712" spans="4:16" ht="12.75" customHeight="1" x14ac:dyDescent="0.35">
      <c r="D712" s="8"/>
      <c r="E712" s="9"/>
      <c r="F712" s="9"/>
      <c r="G712" s="12"/>
      <c r="H712" s="9"/>
      <c r="I712" s="9"/>
      <c r="J712" s="9"/>
      <c r="K712" s="9"/>
      <c r="L712" s="9"/>
      <c r="M712" s="11"/>
      <c r="N712" s="11"/>
      <c r="O712" s="11"/>
      <c r="P712" s="11"/>
    </row>
    <row r="713" spans="4:16" ht="12.75" customHeight="1" x14ac:dyDescent="0.35">
      <c r="D713" s="8"/>
      <c r="E713" s="9"/>
      <c r="F713" s="9"/>
      <c r="G713" s="12"/>
      <c r="H713" s="9"/>
      <c r="I713" s="9"/>
      <c r="J713" s="9"/>
      <c r="K713" s="9"/>
      <c r="L713" s="9"/>
      <c r="M713" s="11"/>
      <c r="N713" s="11"/>
      <c r="O713" s="11"/>
      <c r="P713" s="11"/>
    </row>
    <row r="714" spans="4:16" ht="12.75" customHeight="1" x14ac:dyDescent="0.35">
      <c r="D714" s="8"/>
      <c r="E714" s="9"/>
      <c r="F714" s="9"/>
      <c r="G714" s="12"/>
      <c r="H714" s="9"/>
      <c r="I714" s="9"/>
      <c r="J714" s="9"/>
      <c r="K714" s="9"/>
      <c r="L714" s="9"/>
      <c r="M714" s="11"/>
      <c r="N714" s="11"/>
      <c r="O714" s="11"/>
      <c r="P714" s="11"/>
    </row>
    <row r="715" spans="4:16" ht="12.75" customHeight="1" x14ac:dyDescent="0.35">
      <c r="D715" s="8"/>
      <c r="E715" s="9"/>
      <c r="F715" s="9"/>
      <c r="G715" s="12"/>
      <c r="H715" s="9"/>
      <c r="I715" s="9"/>
      <c r="J715" s="9"/>
      <c r="K715" s="9"/>
      <c r="L715" s="9"/>
      <c r="M715" s="11"/>
      <c r="N715" s="11"/>
      <c r="O715" s="11"/>
      <c r="P715" s="11"/>
    </row>
    <row r="716" spans="4:16" ht="12.75" customHeight="1" x14ac:dyDescent="0.35">
      <c r="D716" s="8"/>
      <c r="E716" s="9"/>
      <c r="F716" s="9"/>
      <c r="G716" s="12"/>
      <c r="H716" s="9"/>
      <c r="I716" s="9"/>
      <c r="J716" s="9"/>
      <c r="K716" s="9"/>
      <c r="L716" s="9"/>
      <c r="M716" s="11"/>
      <c r="N716" s="11"/>
      <c r="O716" s="11"/>
      <c r="P716" s="11"/>
    </row>
    <row r="717" spans="4:16" ht="12.75" customHeight="1" x14ac:dyDescent="0.35">
      <c r="D717" s="8"/>
      <c r="E717" s="9"/>
      <c r="F717" s="9"/>
      <c r="G717" s="12"/>
      <c r="H717" s="9"/>
      <c r="I717" s="9"/>
      <c r="J717" s="9"/>
      <c r="K717" s="9"/>
      <c r="L717" s="9"/>
      <c r="M717" s="11"/>
      <c r="N717" s="11"/>
      <c r="O717" s="11"/>
      <c r="P717" s="11"/>
    </row>
    <row r="718" spans="4:16" ht="12.75" customHeight="1" x14ac:dyDescent="0.35">
      <c r="D718" s="8"/>
      <c r="E718" s="9"/>
      <c r="F718" s="9"/>
      <c r="G718" s="12"/>
      <c r="H718" s="9"/>
      <c r="I718" s="9"/>
      <c r="J718" s="9"/>
      <c r="K718" s="9"/>
      <c r="L718" s="9"/>
      <c r="M718" s="11"/>
      <c r="N718" s="11"/>
      <c r="O718" s="11"/>
      <c r="P718" s="11"/>
    </row>
    <row r="719" spans="4:16" ht="12.75" customHeight="1" x14ac:dyDescent="0.35">
      <c r="D719" s="8"/>
      <c r="E719" s="9"/>
      <c r="F719" s="9"/>
      <c r="G719" s="12"/>
      <c r="H719" s="9"/>
      <c r="I719" s="9"/>
      <c r="J719" s="9"/>
      <c r="K719" s="9"/>
      <c r="L719" s="9"/>
      <c r="M719" s="11"/>
      <c r="N719" s="11"/>
      <c r="O719" s="11"/>
      <c r="P719" s="11"/>
    </row>
    <row r="720" spans="4:16" ht="12.75" customHeight="1" x14ac:dyDescent="0.35">
      <c r="D720" s="8"/>
      <c r="E720" s="9"/>
      <c r="F720" s="9"/>
      <c r="G720" s="12"/>
      <c r="H720" s="9"/>
      <c r="I720" s="9"/>
      <c r="J720" s="9"/>
      <c r="K720" s="9"/>
      <c r="L720" s="9"/>
      <c r="M720" s="11"/>
      <c r="N720" s="11"/>
      <c r="O720" s="11"/>
      <c r="P720" s="11"/>
    </row>
    <row r="721" spans="4:16" ht="12.75" customHeight="1" x14ac:dyDescent="0.35">
      <c r="D721" s="8"/>
      <c r="E721" s="9"/>
      <c r="F721" s="9"/>
      <c r="G721" s="12"/>
      <c r="H721" s="9"/>
      <c r="I721" s="9"/>
      <c r="J721" s="9"/>
      <c r="K721" s="9"/>
      <c r="L721" s="9"/>
      <c r="M721" s="11"/>
      <c r="N721" s="11"/>
      <c r="O721" s="11"/>
      <c r="P721" s="11"/>
    </row>
    <row r="722" spans="4:16" ht="12.75" customHeight="1" x14ac:dyDescent="0.35">
      <c r="D722" s="8"/>
      <c r="E722" s="9"/>
      <c r="F722" s="9"/>
      <c r="G722" s="12"/>
      <c r="H722" s="9"/>
      <c r="I722" s="9"/>
      <c r="J722" s="9"/>
      <c r="K722" s="9"/>
      <c r="L722" s="9"/>
      <c r="M722" s="11"/>
      <c r="N722" s="11"/>
      <c r="O722" s="11"/>
      <c r="P722" s="11"/>
    </row>
    <row r="723" spans="4:16" ht="12.75" customHeight="1" x14ac:dyDescent="0.35">
      <c r="D723" s="8"/>
      <c r="E723" s="9"/>
      <c r="F723" s="9"/>
      <c r="G723" s="12"/>
      <c r="H723" s="9"/>
      <c r="I723" s="9"/>
      <c r="J723" s="9"/>
      <c r="K723" s="9"/>
      <c r="L723" s="9"/>
      <c r="M723" s="11"/>
      <c r="N723" s="11"/>
      <c r="O723" s="11"/>
      <c r="P723" s="11"/>
    </row>
    <row r="724" spans="4:16" ht="12.75" customHeight="1" x14ac:dyDescent="0.35">
      <c r="D724" s="8"/>
      <c r="E724" s="9"/>
      <c r="F724" s="9"/>
      <c r="G724" s="12"/>
      <c r="H724" s="9"/>
      <c r="I724" s="9"/>
      <c r="J724" s="9"/>
      <c r="K724" s="9"/>
      <c r="L724" s="9"/>
      <c r="M724" s="11"/>
      <c r="N724" s="11"/>
      <c r="O724" s="11"/>
      <c r="P724" s="11"/>
    </row>
    <row r="725" spans="4:16" ht="12.75" customHeight="1" x14ac:dyDescent="0.35">
      <c r="D725" s="8"/>
      <c r="E725" s="9"/>
      <c r="F725" s="9"/>
      <c r="G725" s="12"/>
      <c r="H725" s="9"/>
      <c r="I725" s="9"/>
      <c r="J725" s="9"/>
      <c r="K725" s="9"/>
      <c r="L725" s="9"/>
      <c r="M725" s="11"/>
      <c r="N725" s="11"/>
      <c r="O725" s="11"/>
      <c r="P725" s="11"/>
    </row>
    <row r="726" spans="4:16" ht="12.75" customHeight="1" x14ac:dyDescent="0.35">
      <c r="D726" s="8"/>
      <c r="E726" s="9"/>
      <c r="F726" s="9"/>
      <c r="G726" s="12"/>
      <c r="H726" s="9"/>
      <c r="I726" s="9"/>
      <c r="J726" s="9"/>
      <c r="K726" s="9"/>
      <c r="L726" s="9"/>
      <c r="M726" s="11"/>
      <c r="N726" s="11"/>
      <c r="O726" s="11"/>
      <c r="P726" s="11"/>
    </row>
    <row r="727" spans="4:16" ht="12.75" customHeight="1" x14ac:dyDescent="0.35">
      <c r="D727" s="8"/>
      <c r="E727" s="9"/>
      <c r="F727" s="9"/>
      <c r="G727" s="12"/>
      <c r="H727" s="9"/>
      <c r="I727" s="9"/>
      <c r="J727" s="9"/>
      <c r="K727" s="9"/>
      <c r="L727" s="9"/>
      <c r="M727" s="11"/>
      <c r="N727" s="11"/>
      <c r="O727" s="11"/>
      <c r="P727" s="11"/>
    </row>
    <row r="728" spans="4:16" ht="12.75" customHeight="1" x14ac:dyDescent="0.35">
      <c r="D728" s="8"/>
      <c r="E728" s="9"/>
      <c r="F728" s="9"/>
      <c r="G728" s="12"/>
      <c r="H728" s="9"/>
      <c r="I728" s="9"/>
      <c r="J728" s="9"/>
      <c r="K728" s="9"/>
      <c r="L728" s="9"/>
      <c r="M728" s="11"/>
      <c r="N728" s="11"/>
      <c r="O728" s="11"/>
      <c r="P728" s="11"/>
    </row>
    <row r="729" spans="4:16" ht="12.75" customHeight="1" x14ac:dyDescent="0.35">
      <c r="D729" s="8"/>
      <c r="E729" s="9"/>
      <c r="F729" s="9"/>
      <c r="G729" s="12"/>
      <c r="H729" s="9"/>
      <c r="I729" s="9"/>
      <c r="J729" s="9"/>
      <c r="K729" s="9"/>
      <c r="L729" s="9"/>
      <c r="M729" s="11"/>
      <c r="N729" s="11"/>
      <c r="O729" s="11"/>
      <c r="P729" s="11"/>
    </row>
    <row r="730" spans="4:16" ht="12.75" customHeight="1" x14ac:dyDescent="0.35">
      <c r="D730" s="8"/>
      <c r="E730" s="9"/>
      <c r="F730" s="9"/>
      <c r="G730" s="12"/>
      <c r="H730" s="9"/>
      <c r="I730" s="9"/>
      <c r="J730" s="9"/>
      <c r="K730" s="9"/>
      <c r="L730" s="9"/>
      <c r="M730" s="11"/>
      <c r="N730" s="11"/>
      <c r="O730" s="11"/>
      <c r="P730" s="11"/>
    </row>
    <row r="731" spans="4:16" ht="12.75" customHeight="1" x14ac:dyDescent="0.35">
      <c r="D731" s="8"/>
      <c r="E731" s="9"/>
      <c r="F731" s="9"/>
      <c r="G731" s="12"/>
      <c r="H731" s="9"/>
      <c r="I731" s="9"/>
      <c r="J731" s="9"/>
      <c r="K731" s="9"/>
      <c r="L731" s="9"/>
      <c r="M731" s="11"/>
      <c r="N731" s="11"/>
      <c r="O731" s="11"/>
      <c r="P731" s="11"/>
    </row>
    <row r="732" spans="4:16" ht="12.75" customHeight="1" x14ac:dyDescent="0.35">
      <c r="D732" s="8"/>
      <c r="E732" s="9"/>
      <c r="F732" s="9"/>
      <c r="G732" s="12"/>
      <c r="H732" s="9"/>
      <c r="I732" s="9"/>
      <c r="J732" s="9"/>
      <c r="K732" s="9"/>
      <c r="L732" s="9"/>
      <c r="M732" s="11"/>
      <c r="N732" s="11"/>
      <c r="O732" s="11"/>
      <c r="P732" s="11"/>
    </row>
    <row r="733" spans="4:16" ht="12.75" customHeight="1" x14ac:dyDescent="0.35">
      <c r="D733" s="8"/>
      <c r="E733" s="9"/>
      <c r="F733" s="9"/>
      <c r="G733" s="12"/>
      <c r="H733" s="9"/>
      <c r="I733" s="9"/>
      <c r="J733" s="9"/>
      <c r="K733" s="9"/>
      <c r="L733" s="9"/>
      <c r="M733" s="11"/>
      <c r="N733" s="11"/>
      <c r="O733" s="11"/>
      <c r="P733" s="11"/>
    </row>
    <row r="734" spans="4:16" ht="12.75" customHeight="1" x14ac:dyDescent="0.35">
      <c r="D734" s="8"/>
      <c r="E734" s="9"/>
      <c r="F734" s="9"/>
      <c r="G734" s="12"/>
      <c r="H734" s="9"/>
      <c r="I734" s="9"/>
      <c r="J734" s="9"/>
      <c r="K734" s="9"/>
      <c r="L734" s="9"/>
      <c r="M734" s="11"/>
      <c r="N734" s="11"/>
      <c r="O734" s="11"/>
      <c r="P734" s="11"/>
    </row>
    <row r="735" spans="4:16" ht="12.75" customHeight="1" x14ac:dyDescent="0.35">
      <c r="D735" s="8"/>
      <c r="E735" s="9"/>
      <c r="F735" s="9"/>
      <c r="G735" s="12"/>
      <c r="H735" s="9"/>
      <c r="I735" s="9"/>
      <c r="J735" s="9"/>
      <c r="K735" s="9"/>
      <c r="L735" s="9"/>
      <c r="M735" s="11"/>
      <c r="N735" s="11"/>
      <c r="O735" s="11"/>
      <c r="P735" s="11"/>
    </row>
    <row r="736" spans="4:16" ht="12.75" customHeight="1" x14ac:dyDescent="0.35">
      <c r="D736" s="8"/>
      <c r="E736" s="9"/>
      <c r="F736" s="9"/>
      <c r="G736" s="12"/>
      <c r="H736" s="9"/>
      <c r="I736" s="9"/>
      <c r="J736" s="9"/>
      <c r="K736" s="9"/>
      <c r="L736" s="9"/>
      <c r="M736" s="11"/>
      <c r="N736" s="11"/>
      <c r="O736" s="11"/>
      <c r="P736" s="11"/>
    </row>
    <row r="737" spans="4:16" ht="12.75" customHeight="1" x14ac:dyDescent="0.35">
      <c r="D737" s="8"/>
      <c r="E737" s="9"/>
      <c r="F737" s="9"/>
      <c r="G737" s="12"/>
      <c r="H737" s="9"/>
      <c r="I737" s="9"/>
      <c r="J737" s="9"/>
      <c r="K737" s="9"/>
      <c r="L737" s="9"/>
      <c r="M737" s="11"/>
      <c r="N737" s="11"/>
      <c r="O737" s="11"/>
      <c r="P737" s="11"/>
    </row>
    <row r="738" spans="4:16" ht="12.75" customHeight="1" x14ac:dyDescent="0.35">
      <c r="D738" s="8"/>
      <c r="E738" s="9"/>
      <c r="F738" s="9"/>
      <c r="G738" s="12"/>
      <c r="H738" s="9"/>
      <c r="I738" s="9"/>
      <c r="J738" s="9"/>
      <c r="K738" s="9"/>
      <c r="L738" s="9"/>
      <c r="M738" s="11"/>
      <c r="N738" s="11"/>
      <c r="O738" s="11"/>
      <c r="P738" s="11"/>
    </row>
    <row r="739" spans="4:16" ht="12.75" customHeight="1" x14ac:dyDescent="0.35">
      <c r="D739" s="8"/>
      <c r="E739" s="9"/>
      <c r="F739" s="9"/>
      <c r="G739" s="12"/>
      <c r="H739" s="9"/>
      <c r="I739" s="9"/>
      <c r="J739" s="9"/>
      <c r="K739" s="9"/>
      <c r="L739" s="9"/>
      <c r="M739" s="11"/>
      <c r="N739" s="11"/>
      <c r="O739" s="11"/>
      <c r="P739" s="11"/>
    </row>
    <row r="740" spans="4:16" ht="12.75" customHeight="1" x14ac:dyDescent="0.35">
      <c r="D740" s="8"/>
      <c r="E740" s="9"/>
      <c r="F740" s="9"/>
      <c r="G740" s="12"/>
      <c r="H740" s="9"/>
      <c r="I740" s="9"/>
      <c r="J740" s="9"/>
      <c r="K740" s="9"/>
      <c r="L740" s="9"/>
      <c r="M740" s="11"/>
      <c r="N740" s="11"/>
      <c r="O740" s="11"/>
      <c r="P740" s="11"/>
    </row>
    <row r="741" spans="4:16" ht="12.75" customHeight="1" x14ac:dyDescent="0.35">
      <c r="D741" s="8"/>
      <c r="E741" s="9"/>
      <c r="F741" s="9"/>
      <c r="G741" s="12"/>
      <c r="H741" s="9"/>
      <c r="I741" s="9"/>
      <c r="J741" s="9"/>
      <c r="K741" s="9"/>
      <c r="L741" s="9"/>
      <c r="M741" s="11"/>
      <c r="N741" s="11"/>
      <c r="O741" s="11"/>
      <c r="P741" s="11"/>
    </row>
    <row r="742" spans="4:16" ht="12.75" customHeight="1" x14ac:dyDescent="0.35">
      <c r="D742" s="8"/>
      <c r="E742" s="9"/>
      <c r="F742" s="9"/>
      <c r="G742" s="12"/>
      <c r="H742" s="9"/>
      <c r="I742" s="9"/>
      <c r="J742" s="9"/>
      <c r="K742" s="9"/>
      <c r="L742" s="9"/>
      <c r="M742" s="11"/>
      <c r="N742" s="11"/>
      <c r="O742" s="11"/>
      <c r="P742" s="11"/>
    </row>
    <row r="743" spans="4:16" ht="12.75" customHeight="1" x14ac:dyDescent="0.35">
      <c r="D743" s="8"/>
      <c r="E743" s="9"/>
      <c r="F743" s="9"/>
      <c r="G743" s="12"/>
      <c r="H743" s="9"/>
      <c r="I743" s="9"/>
      <c r="J743" s="9"/>
      <c r="K743" s="9"/>
      <c r="L743" s="9"/>
      <c r="M743" s="11"/>
      <c r="N743" s="11"/>
      <c r="O743" s="11"/>
      <c r="P743" s="11"/>
    </row>
    <row r="744" spans="4:16" ht="12.75" customHeight="1" x14ac:dyDescent="0.35">
      <c r="D744" s="8"/>
      <c r="E744" s="9"/>
      <c r="F744" s="9"/>
      <c r="G744" s="12"/>
      <c r="H744" s="9"/>
      <c r="I744" s="9"/>
      <c r="J744" s="9"/>
      <c r="K744" s="9"/>
      <c r="L744" s="9"/>
      <c r="M744" s="11"/>
      <c r="N744" s="11"/>
      <c r="O744" s="11"/>
      <c r="P744" s="11"/>
    </row>
    <row r="745" spans="4:16" ht="12.75" customHeight="1" x14ac:dyDescent="0.35">
      <c r="D745" s="8"/>
      <c r="E745" s="9"/>
      <c r="F745" s="9"/>
      <c r="G745" s="12"/>
      <c r="H745" s="9"/>
      <c r="I745" s="9"/>
      <c r="J745" s="9"/>
      <c r="K745" s="9"/>
      <c r="L745" s="9"/>
      <c r="M745" s="11"/>
      <c r="N745" s="11"/>
      <c r="O745" s="11"/>
      <c r="P745" s="11"/>
    </row>
    <row r="746" spans="4:16" ht="12.75" customHeight="1" x14ac:dyDescent="0.35">
      <c r="D746" s="8"/>
      <c r="E746" s="9"/>
      <c r="F746" s="9"/>
      <c r="G746" s="12"/>
      <c r="H746" s="9"/>
      <c r="I746" s="9"/>
      <c r="J746" s="9"/>
      <c r="K746" s="9"/>
      <c r="L746" s="9"/>
      <c r="M746" s="11"/>
      <c r="N746" s="11"/>
      <c r="O746" s="11"/>
      <c r="P746" s="11"/>
    </row>
    <row r="747" spans="4:16" ht="12.75" customHeight="1" x14ac:dyDescent="0.35">
      <c r="D747" s="8"/>
      <c r="E747" s="9"/>
      <c r="F747" s="9"/>
      <c r="G747" s="12"/>
      <c r="H747" s="9"/>
      <c r="I747" s="9"/>
      <c r="J747" s="9"/>
      <c r="K747" s="9"/>
      <c r="L747" s="9"/>
      <c r="M747" s="11"/>
      <c r="N747" s="11"/>
      <c r="O747" s="11"/>
      <c r="P747" s="11"/>
    </row>
    <row r="748" spans="4:16" ht="12.75" customHeight="1" x14ac:dyDescent="0.35">
      <c r="D748" s="8"/>
      <c r="E748" s="9"/>
      <c r="F748" s="9"/>
      <c r="G748" s="12"/>
      <c r="H748" s="9"/>
      <c r="I748" s="9"/>
      <c r="J748" s="9"/>
      <c r="K748" s="9"/>
      <c r="L748" s="9"/>
      <c r="M748" s="11"/>
      <c r="N748" s="11"/>
      <c r="O748" s="11"/>
      <c r="P748" s="11"/>
    </row>
    <row r="749" spans="4:16" ht="12.75" customHeight="1" x14ac:dyDescent="0.35">
      <c r="D749" s="8"/>
      <c r="E749" s="9"/>
      <c r="F749" s="9"/>
      <c r="G749" s="12"/>
      <c r="H749" s="9"/>
      <c r="I749" s="9"/>
      <c r="J749" s="9"/>
      <c r="K749" s="9"/>
      <c r="L749" s="9"/>
      <c r="M749" s="11"/>
      <c r="N749" s="11"/>
      <c r="O749" s="11"/>
      <c r="P749" s="11"/>
    </row>
    <row r="750" spans="4:16" ht="12.75" customHeight="1" x14ac:dyDescent="0.35">
      <c r="D750" s="8"/>
      <c r="E750" s="9"/>
      <c r="F750" s="9"/>
      <c r="G750" s="12"/>
      <c r="H750" s="9"/>
      <c r="I750" s="9"/>
      <c r="J750" s="9"/>
      <c r="K750" s="9"/>
      <c r="L750" s="9"/>
      <c r="M750" s="11"/>
      <c r="N750" s="11"/>
      <c r="O750" s="11"/>
      <c r="P750" s="11"/>
    </row>
    <row r="751" spans="4:16" ht="12.75" customHeight="1" x14ac:dyDescent="0.35">
      <c r="D751" s="8"/>
      <c r="E751" s="9"/>
      <c r="F751" s="9"/>
      <c r="G751" s="12"/>
      <c r="H751" s="9"/>
      <c r="I751" s="9"/>
      <c r="J751" s="9"/>
      <c r="K751" s="9"/>
      <c r="L751" s="9"/>
      <c r="M751" s="11"/>
      <c r="N751" s="11"/>
      <c r="O751" s="11"/>
      <c r="P751" s="11"/>
    </row>
    <row r="752" spans="4:16" ht="12.75" customHeight="1" x14ac:dyDescent="0.35">
      <c r="D752" s="8"/>
      <c r="E752" s="9"/>
      <c r="F752" s="9"/>
      <c r="G752" s="12"/>
      <c r="H752" s="9"/>
      <c r="I752" s="9"/>
      <c r="J752" s="9"/>
      <c r="K752" s="9"/>
      <c r="L752" s="9"/>
      <c r="M752" s="11"/>
      <c r="N752" s="11"/>
      <c r="O752" s="11"/>
      <c r="P752" s="11"/>
    </row>
    <row r="753" spans="4:16" ht="12.75" customHeight="1" x14ac:dyDescent="0.35">
      <c r="D753" s="8"/>
      <c r="E753" s="9"/>
      <c r="F753" s="9"/>
      <c r="G753" s="12"/>
      <c r="H753" s="9"/>
      <c r="I753" s="9"/>
      <c r="J753" s="9"/>
      <c r="K753" s="9"/>
      <c r="L753" s="9"/>
      <c r="M753" s="11"/>
      <c r="N753" s="11"/>
      <c r="O753" s="11"/>
      <c r="P753" s="11"/>
    </row>
    <row r="754" spans="4:16" ht="12.75" customHeight="1" x14ac:dyDescent="0.35">
      <c r="D754" s="8"/>
      <c r="E754" s="9"/>
      <c r="F754" s="9"/>
      <c r="G754" s="12"/>
      <c r="H754" s="9"/>
      <c r="I754" s="9"/>
      <c r="J754" s="9"/>
      <c r="K754" s="9"/>
      <c r="L754" s="9"/>
      <c r="M754" s="11"/>
      <c r="N754" s="11"/>
      <c r="O754" s="11"/>
      <c r="P754" s="11"/>
    </row>
    <row r="755" spans="4:16" ht="12.75" customHeight="1" x14ac:dyDescent="0.35">
      <c r="D755" s="8"/>
      <c r="E755" s="9"/>
      <c r="F755" s="9"/>
      <c r="G755" s="12"/>
      <c r="H755" s="9"/>
      <c r="I755" s="9"/>
      <c r="J755" s="9"/>
      <c r="K755" s="9"/>
      <c r="L755" s="9"/>
      <c r="M755" s="11"/>
      <c r="N755" s="11"/>
      <c r="O755" s="11"/>
      <c r="P755" s="11"/>
    </row>
    <row r="756" spans="4:16" ht="12.75" customHeight="1" x14ac:dyDescent="0.35">
      <c r="D756" s="8"/>
      <c r="E756" s="9"/>
      <c r="F756" s="9"/>
      <c r="G756" s="12"/>
      <c r="H756" s="9"/>
      <c r="I756" s="9"/>
      <c r="J756" s="9"/>
      <c r="K756" s="9"/>
      <c r="L756" s="9"/>
      <c r="M756" s="11"/>
      <c r="N756" s="11"/>
      <c r="O756" s="11"/>
      <c r="P756" s="11"/>
    </row>
    <row r="757" spans="4:16" ht="12.75" customHeight="1" x14ac:dyDescent="0.35">
      <c r="D757" s="8"/>
      <c r="E757" s="9"/>
      <c r="F757" s="9"/>
      <c r="G757" s="12"/>
      <c r="H757" s="9"/>
      <c r="I757" s="9"/>
      <c r="J757" s="9"/>
      <c r="K757" s="9"/>
      <c r="L757" s="9"/>
      <c r="M757" s="11"/>
      <c r="N757" s="11"/>
      <c r="O757" s="11"/>
      <c r="P757" s="11"/>
    </row>
    <row r="758" spans="4:16" ht="12.75" customHeight="1" x14ac:dyDescent="0.35">
      <c r="D758" s="8"/>
      <c r="E758" s="9"/>
      <c r="F758" s="9"/>
      <c r="G758" s="12"/>
      <c r="H758" s="9"/>
      <c r="I758" s="9"/>
      <c r="J758" s="9"/>
      <c r="K758" s="9"/>
      <c r="L758" s="9"/>
      <c r="M758" s="11"/>
      <c r="N758" s="11"/>
      <c r="O758" s="11"/>
      <c r="P758" s="11"/>
    </row>
    <row r="759" spans="4:16" ht="12.75" customHeight="1" x14ac:dyDescent="0.35">
      <c r="D759" s="8"/>
      <c r="E759" s="9"/>
      <c r="F759" s="9"/>
      <c r="G759" s="12"/>
      <c r="H759" s="9"/>
      <c r="I759" s="9"/>
      <c r="J759" s="9"/>
      <c r="K759" s="9"/>
      <c r="L759" s="9"/>
      <c r="M759" s="11"/>
      <c r="N759" s="11"/>
      <c r="O759" s="11"/>
      <c r="P759" s="11"/>
    </row>
    <row r="760" spans="4:16" ht="12.75" customHeight="1" x14ac:dyDescent="0.35">
      <c r="D760" s="8"/>
      <c r="E760" s="9"/>
      <c r="F760" s="9"/>
      <c r="G760" s="12"/>
      <c r="H760" s="9"/>
      <c r="I760" s="9"/>
      <c r="J760" s="9"/>
      <c r="K760" s="9"/>
      <c r="L760" s="9"/>
      <c r="M760" s="11"/>
      <c r="N760" s="11"/>
      <c r="O760" s="11"/>
      <c r="P760" s="11"/>
    </row>
    <row r="761" spans="4:16" ht="12.75" customHeight="1" x14ac:dyDescent="0.35">
      <c r="D761" s="8"/>
      <c r="E761" s="9"/>
      <c r="F761" s="9"/>
      <c r="G761" s="12"/>
      <c r="H761" s="9"/>
      <c r="I761" s="9"/>
      <c r="J761" s="9"/>
      <c r="K761" s="9"/>
      <c r="L761" s="9"/>
      <c r="M761" s="11"/>
      <c r="N761" s="11"/>
      <c r="O761" s="11"/>
      <c r="P761" s="11"/>
    </row>
    <row r="762" spans="4:16" ht="12.75" customHeight="1" x14ac:dyDescent="0.35">
      <c r="D762" s="8"/>
      <c r="E762" s="9"/>
      <c r="F762" s="9"/>
      <c r="G762" s="12"/>
      <c r="H762" s="9"/>
      <c r="I762" s="9"/>
      <c r="J762" s="9"/>
      <c r="K762" s="9"/>
      <c r="L762" s="9"/>
      <c r="M762" s="11"/>
      <c r="N762" s="11"/>
      <c r="O762" s="11"/>
      <c r="P762" s="11"/>
    </row>
    <row r="763" spans="4:16" ht="12.75" customHeight="1" x14ac:dyDescent="0.35">
      <c r="D763" s="8"/>
      <c r="E763" s="9"/>
      <c r="F763" s="9"/>
      <c r="G763" s="12"/>
      <c r="H763" s="9"/>
      <c r="I763" s="9"/>
      <c r="J763" s="9"/>
      <c r="K763" s="9"/>
      <c r="L763" s="9"/>
      <c r="M763" s="11"/>
      <c r="N763" s="11"/>
      <c r="O763" s="11"/>
      <c r="P763" s="11"/>
    </row>
    <row r="764" spans="4:16" ht="12.75" customHeight="1" x14ac:dyDescent="0.35">
      <c r="D764" s="8"/>
      <c r="E764" s="9"/>
      <c r="F764" s="9"/>
      <c r="G764" s="12"/>
      <c r="H764" s="9"/>
      <c r="I764" s="9"/>
      <c r="J764" s="9"/>
      <c r="K764" s="9"/>
      <c r="L764" s="9"/>
      <c r="M764" s="11"/>
      <c r="N764" s="11"/>
      <c r="O764" s="11"/>
      <c r="P764" s="11"/>
    </row>
    <row r="765" spans="4:16" ht="12.75" customHeight="1" x14ac:dyDescent="0.35">
      <c r="D765" s="8"/>
      <c r="E765" s="9"/>
      <c r="F765" s="9"/>
      <c r="G765" s="12"/>
      <c r="H765" s="9"/>
      <c r="I765" s="9"/>
      <c r="J765" s="9"/>
      <c r="K765" s="9"/>
      <c r="L765" s="9"/>
      <c r="M765" s="11"/>
      <c r="N765" s="11"/>
      <c r="O765" s="11"/>
      <c r="P765" s="11"/>
    </row>
    <row r="766" spans="4:16" ht="12.75" customHeight="1" x14ac:dyDescent="0.35">
      <c r="D766" s="8"/>
      <c r="E766" s="9"/>
      <c r="F766" s="9"/>
      <c r="G766" s="12"/>
      <c r="H766" s="9"/>
      <c r="I766" s="9"/>
      <c r="J766" s="9"/>
      <c r="K766" s="9"/>
      <c r="L766" s="9"/>
      <c r="M766" s="11"/>
      <c r="N766" s="11"/>
      <c r="O766" s="11"/>
      <c r="P766" s="11"/>
    </row>
    <row r="767" spans="4:16" ht="12.75" customHeight="1" x14ac:dyDescent="0.35">
      <c r="D767" s="8"/>
      <c r="E767" s="9"/>
      <c r="F767" s="9"/>
      <c r="G767" s="12"/>
      <c r="H767" s="9"/>
      <c r="I767" s="9"/>
      <c r="J767" s="9"/>
      <c r="K767" s="9"/>
      <c r="L767" s="9"/>
      <c r="M767" s="11"/>
      <c r="N767" s="11"/>
      <c r="O767" s="11"/>
      <c r="P767" s="11"/>
    </row>
    <row r="768" spans="4:16" ht="12.75" customHeight="1" x14ac:dyDescent="0.35">
      <c r="D768" s="8"/>
      <c r="E768" s="9"/>
      <c r="F768" s="9"/>
      <c r="G768" s="12"/>
      <c r="H768" s="9"/>
      <c r="I768" s="9"/>
      <c r="J768" s="9"/>
      <c r="K768" s="9"/>
      <c r="L768" s="9"/>
      <c r="M768" s="11"/>
      <c r="N768" s="11"/>
      <c r="O768" s="11"/>
      <c r="P768" s="11"/>
    </row>
    <row r="769" spans="4:16" ht="12.75" customHeight="1" x14ac:dyDescent="0.35">
      <c r="D769" s="8"/>
      <c r="E769" s="9"/>
      <c r="F769" s="9"/>
      <c r="G769" s="12"/>
      <c r="H769" s="9"/>
      <c r="I769" s="9"/>
      <c r="J769" s="9"/>
      <c r="K769" s="9"/>
      <c r="L769" s="9"/>
      <c r="M769" s="11"/>
      <c r="N769" s="11"/>
      <c r="O769" s="11"/>
      <c r="P769" s="11"/>
    </row>
    <row r="770" spans="4:16" ht="12.75" customHeight="1" x14ac:dyDescent="0.35">
      <c r="D770" s="8"/>
      <c r="E770" s="9"/>
      <c r="F770" s="9"/>
      <c r="G770" s="12"/>
      <c r="H770" s="9"/>
      <c r="I770" s="9"/>
      <c r="J770" s="9"/>
      <c r="K770" s="9"/>
      <c r="L770" s="9"/>
      <c r="M770" s="11"/>
      <c r="N770" s="11"/>
      <c r="O770" s="11"/>
      <c r="P770" s="11"/>
    </row>
    <row r="771" spans="4:16" ht="12.75" customHeight="1" x14ac:dyDescent="0.35">
      <c r="D771" s="8"/>
      <c r="E771" s="9"/>
      <c r="F771" s="9"/>
      <c r="G771" s="12"/>
      <c r="H771" s="9"/>
      <c r="I771" s="9"/>
      <c r="J771" s="9"/>
      <c r="K771" s="9"/>
      <c r="L771" s="9"/>
      <c r="M771" s="11"/>
      <c r="N771" s="11"/>
      <c r="O771" s="11"/>
      <c r="P771" s="11"/>
    </row>
    <row r="772" spans="4:16" ht="12.75" customHeight="1" x14ac:dyDescent="0.35">
      <c r="D772" s="8"/>
      <c r="E772" s="9"/>
      <c r="F772" s="9"/>
      <c r="G772" s="12"/>
      <c r="H772" s="9"/>
      <c r="I772" s="9"/>
      <c r="J772" s="9"/>
      <c r="K772" s="9"/>
      <c r="L772" s="9"/>
      <c r="M772" s="11"/>
      <c r="N772" s="11"/>
      <c r="O772" s="11"/>
      <c r="P772" s="11"/>
    </row>
    <row r="773" spans="4:16" ht="12.75" customHeight="1" x14ac:dyDescent="0.35">
      <c r="D773" s="8"/>
      <c r="E773" s="9"/>
      <c r="F773" s="9"/>
      <c r="G773" s="12"/>
      <c r="H773" s="9"/>
      <c r="I773" s="9"/>
      <c r="J773" s="9"/>
      <c r="K773" s="9"/>
      <c r="L773" s="9"/>
      <c r="M773" s="11"/>
      <c r="N773" s="11"/>
      <c r="O773" s="11"/>
      <c r="P773" s="11"/>
    </row>
    <row r="774" spans="4:16" ht="12.75" customHeight="1" x14ac:dyDescent="0.35">
      <c r="D774" s="8"/>
      <c r="E774" s="9"/>
      <c r="F774" s="9"/>
      <c r="G774" s="12"/>
      <c r="H774" s="9"/>
      <c r="I774" s="9"/>
      <c r="J774" s="9"/>
      <c r="K774" s="9"/>
      <c r="L774" s="9"/>
      <c r="M774" s="11"/>
      <c r="N774" s="11"/>
      <c r="O774" s="11"/>
      <c r="P774" s="11"/>
    </row>
    <row r="775" spans="4:16" ht="12.75" customHeight="1" x14ac:dyDescent="0.35">
      <c r="D775" s="8"/>
      <c r="E775" s="9"/>
      <c r="F775" s="9"/>
      <c r="G775" s="12"/>
      <c r="H775" s="9"/>
      <c r="I775" s="9"/>
      <c r="J775" s="9"/>
      <c r="K775" s="9"/>
      <c r="L775" s="9"/>
      <c r="M775" s="11"/>
      <c r="N775" s="11"/>
      <c r="O775" s="11"/>
      <c r="P775" s="11"/>
    </row>
    <row r="776" spans="4:16" ht="12.75" customHeight="1" x14ac:dyDescent="0.35">
      <c r="D776" s="8"/>
      <c r="E776" s="9"/>
      <c r="F776" s="9"/>
      <c r="G776" s="12"/>
      <c r="H776" s="9"/>
      <c r="I776" s="9"/>
      <c r="J776" s="9"/>
      <c r="K776" s="9"/>
      <c r="L776" s="9"/>
      <c r="M776" s="11"/>
      <c r="N776" s="11"/>
      <c r="O776" s="11"/>
      <c r="P776" s="11"/>
    </row>
    <row r="777" spans="4:16" ht="12.75" customHeight="1" x14ac:dyDescent="0.35">
      <c r="D777" s="8"/>
      <c r="E777" s="9"/>
      <c r="F777" s="9"/>
      <c r="G777" s="12"/>
      <c r="H777" s="9"/>
      <c r="I777" s="9"/>
      <c r="J777" s="9"/>
      <c r="K777" s="9"/>
      <c r="L777" s="9"/>
      <c r="M777" s="11"/>
      <c r="N777" s="11"/>
      <c r="O777" s="11"/>
      <c r="P777" s="11"/>
    </row>
    <row r="778" spans="4:16" ht="12.75" customHeight="1" x14ac:dyDescent="0.35">
      <c r="D778" s="8"/>
      <c r="E778" s="9"/>
      <c r="F778" s="9"/>
      <c r="G778" s="12"/>
      <c r="H778" s="9"/>
      <c r="I778" s="9"/>
      <c r="J778" s="9"/>
      <c r="K778" s="9"/>
      <c r="L778" s="9"/>
      <c r="M778" s="11"/>
      <c r="N778" s="11"/>
      <c r="O778" s="11"/>
      <c r="P778" s="11"/>
    </row>
    <row r="779" spans="4:16" ht="12.75" customHeight="1" x14ac:dyDescent="0.35">
      <c r="D779" s="8"/>
      <c r="E779" s="9"/>
      <c r="F779" s="9"/>
      <c r="G779" s="12"/>
      <c r="H779" s="9"/>
      <c r="I779" s="9"/>
      <c r="J779" s="9"/>
      <c r="K779" s="9"/>
      <c r="L779" s="9"/>
      <c r="M779" s="11"/>
      <c r="N779" s="11"/>
      <c r="O779" s="11"/>
      <c r="P779" s="11"/>
    </row>
    <row r="780" spans="4:16" ht="12.75" customHeight="1" x14ac:dyDescent="0.35">
      <c r="D780" s="8"/>
      <c r="E780" s="9"/>
      <c r="F780" s="9"/>
      <c r="G780" s="12"/>
      <c r="H780" s="9"/>
      <c r="I780" s="9"/>
      <c r="J780" s="9"/>
      <c r="K780" s="9"/>
      <c r="L780" s="9"/>
      <c r="M780" s="11"/>
      <c r="N780" s="11"/>
      <c r="O780" s="11"/>
      <c r="P780" s="11"/>
    </row>
    <row r="781" spans="4:16" ht="12.75" customHeight="1" x14ac:dyDescent="0.35">
      <c r="D781" s="8"/>
      <c r="E781" s="9"/>
      <c r="F781" s="9"/>
      <c r="G781" s="12"/>
      <c r="H781" s="9"/>
      <c r="I781" s="9"/>
      <c r="J781" s="9"/>
      <c r="K781" s="9"/>
      <c r="L781" s="9"/>
      <c r="M781" s="11"/>
      <c r="N781" s="11"/>
      <c r="O781" s="11"/>
      <c r="P781" s="11"/>
    </row>
    <row r="782" spans="4:16" ht="12.75" customHeight="1" x14ac:dyDescent="0.35">
      <c r="D782" s="8"/>
      <c r="E782" s="9"/>
      <c r="F782" s="9"/>
      <c r="G782" s="12"/>
      <c r="H782" s="9"/>
      <c r="I782" s="9"/>
      <c r="J782" s="9"/>
      <c r="K782" s="9"/>
      <c r="L782" s="9"/>
      <c r="M782" s="11"/>
      <c r="N782" s="11"/>
      <c r="O782" s="11"/>
      <c r="P782" s="11"/>
    </row>
    <row r="783" spans="4:16" ht="12.75" customHeight="1" x14ac:dyDescent="0.35">
      <c r="D783" s="8"/>
      <c r="E783" s="9"/>
      <c r="F783" s="9"/>
      <c r="G783" s="12"/>
      <c r="H783" s="9"/>
      <c r="I783" s="9"/>
      <c r="J783" s="9"/>
      <c r="K783" s="9"/>
      <c r="L783" s="9"/>
      <c r="M783" s="11"/>
      <c r="N783" s="11"/>
      <c r="O783" s="11"/>
      <c r="P783" s="11"/>
    </row>
    <row r="784" spans="4:16" ht="12.75" customHeight="1" x14ac:dyDescent="0.35">
      <c r="D784" s="8"/>
      <c r="E784" s="9"/>
      <c r="F784" s="9"/>
      <c r="G784" s="12"/>
      <c r="H784" s="9"/>
      <c r="I784" s="9"/>
      <c r="J784" s="9"/>
      <c r="K784" s="9"/>
      <c r="L784" s="9"/>
      <c r="M784" s="11"/>
      <c r="N784" s="11"/>
      <c r="O784" s="11"/>
      <c r="P784" s="11"/>
    </row>
    <row r="785" spans="4:16" ht="12.75" customHeight="1" x14ac:dyDescent="0.35">
      <c r="D785" s="8"/>
      <c r="E785" s="9"/>
      <c r="F785" s="9"/>
      <c r="G785" s="12"/>
      <c r="H785" s="9"/>
      <c r="I785" s="9"/>
      <c r="J785" s="9"/>
      <c r="K785" s="9"/>
      <c r="L785" s="9"/>
      <c r="M785" s="11"/>
      <c r="N785" s="11"/>
      <c r="O785" s="11"/>
      <c r="P785" s="11"/>
    </row>
    <row r="786" spans="4:16" ht="12.75" customHeight="1" x14ac:dyDescent="0.35">
      <c r="D786" s="8"/>
      <c r="E786" s="9"/>
      <c r="F786" s="9"/>
      <c r="G786" s="12"/>
      <c r="H786" s="9"/>
      <c r="I786" s="9"/>
      <c r="J786" s="9"/>
      <c r="K786" s="9"/>
      <c r="L786" s="9"/>
      <c r="M786" s="11"/>
      <c r="N786" s="11"/>
      <c r="O786" s="11"/>
      <c r="P786" s="11"/>
    </row>
    <row r="787" spans="4:16" ht="12.75" customHeight="1" x14ac:dyDescent="0.35">
      <c r="D787" s="8"/>
      <c r="E787" s="9"/>
      <c r="F787" s="9"/>
      <c r="G787" s="12"/>
      <c r="H787" s="9"/>
      <c r="I787" s="9"/>
      <c r="J787" s="9"/>
      <c r="K787" s="9"/>
      <c r="L787" s="9"/>
      <c r="M787" s="11"/>
      <c r="N787" s="11"/>
      <c r="O787" s="11"/>
      <c r="P787" s="11"/>
    </row>
    <row r="788" spans="4:16" ht="12.75" customHeight="1" x14ac:dyDescent="0.35">
      <c r="D788" s="8"/>
      <c r="E788" s="9"/>
      <c r="F788" s="9"/>
      <c r="G788" s="12"/>
      <c r="H788" s="9"/>
      <c r="I788" s="9"/>
      <c r="J788" s="9"/>
      <c r="K788" s="9"/>
      <c r="L788" s="9"/>
      <c r="M788" s="11"/>
      <c r="N788" s="11"/>
      <c r="O788" s="11"/>
      <c r="P788" s="11"/>
    </row>
    <row r="789" spans="4:16" ht="12.75" customHeight="1" x14ac:dyDescent="0.35">
      <c r="D789" s="8"/>
      <c r="E789" s="9"/>
      <c r="F789" s="9"/>
      <c r="G789" s="12"/>
      <c r="H789" s="9"/>
      <c r="I789" s="9"/>
      <c r="J789" s="9"/>
      <c r="K789" s="9"/>
      <c r="L789" s="9"/>
      <c r="M789" s="11"/>
      <c r="N789" s="11"/>
      <c r="O789" s="11"/>
      <c r="P789" s="11"/>
    </row>
    <row r="790" spans="4:16" ht="12.75" customHeight="1" x14ac:dyDescent="0.35">
      <c r="D790" s="8"/>
      <c r="E790" s="9"/>
      <c r="F790" s="9"/>
      <c r="G790" s="12"/>
      <c r="H790" s="9"/>
      <c r="I790" s="9"/>
      <c r="J790" s="9"/>
      <c r="K790" s="9"/>
      <c r="L790" s="9"/>
      <c r="M790" s="11"/>
      <c r="N790" s="11"/>
      <c r="O790" s="11"/>
      <c r="P790" s="11"/>
    </row>
    <row r="791" spans="4:16" ht="12.75" customHeight="1" x14ac:dyDescent="0.35">
      <c r="D791" s="8"/>
      <c r="E791" s="9"/>
      <c r="F791" s="9"/>
      <c r="G791" s="12"/>
      <c r="H791" s="9"/>
      <c r="I791" s="9"/>
      <c r="J791" s="9"/>
      <c r="K791" s="9"/>
      <c r="L791" s="9"/>
      <c r="M791" s="11"/>
      <c r="N791" s="11"/>
      <c r="O791" s="11"/>
      <c r="P791" s="11"/>
    </row>
    <row r="792" spans="4:16" ht="12.75" customHeight="1" x14ac:dyDescent="0.35">
      <c r="D792" s="8"/>
      <c r="E792" s="9"/>
      <c r="F792" s="9"/>
      <c r="G792" s="12"/>
      <c r="H792" s="9"/>
      <c r="I792" s="9"/>
      <c r="J792" s="9"/>
      <c r="K792" s="9"/>
      <c r="L792" s="9"/>
      <c r="M792" s="11"/>
      <c r="N792" s="11"/>
      <c r="O792" s="11"/>
      <c r="P792" s="11"/>
    </row>
    <row r="793" spans="4:16" ht="12.75" customHeight="1" x14ac:dyDescent="0.35">
      <c r="D793" s="8"/>
      <c r="E793" s="9"/>
      <c r="F793" s="9"/>
      <c r="G793" s="12"/>
      <c r="H793" s="9"/>
      <c r="I793" s="9"/>
      <c r="J793" s="9"/>
      <c r="K793" s="9"/>
      <c r="L793" s="9"/>
      <c r="M793" s="11"/>
      <c r="N793" s="11"/>
      <c r="O793" s="11"/>
      <c r="P793" s="11"/>
    </row>
    <row r="794" spans="4:16" ht="12.75" customHeight="1" x14ac:dyDescent="0.35">
      <c r="D794" s="8"/>
      <c r="E794" s="9"/>
      <c r="F794" s="9"/>
      <c r="G794" s="12"/>
      <c r="H794" s="9"/>
      <c r="I794" s="9"/>
      <c r="J794" s="9"/>
      <c r="K794" s="9"/>
      <c r="L794" s="9"/>
      <c r="M794" s="11"/>
      <c r="N794" s="11"/>
      <c r="O794" s="11"/>
      <c r="P794" s="11"/>
    </row>
    <row r="795" spans="4:16" ht="12.75" customHeight="1" x14ac:dyDescent="0.35">
      <c r="D795" s="8"/>
      <c r="E795" s="9"/>
      <c r="F795" s="9"/>
      <c r="G795" s="12"/>
      <c r="H795" s="9"/>
      <c r="I795" s="9"/>
      <c r="J795" s="9"/>
      <c r="K795" s="9"/>
      <c r="L795" s="9"/>
      <c r="M795" s="11"/>
      <c r="N795" s="11"/>
      <c r="O795" s="11"/>
      <c r="P795" s="11"/>
    </row>
    <row r="796" spans="4:16" ht="12.75" customHeight="1" x14ac:dyDescent="0.35">
      <c r="D796" s="8"/>
      <c r="E796" s="9"/>
      <c r="F796" s="9"/>
      <c r="G796" s="12"/>
      <c r="H796" s="9"/>
      <c r="I796" s="9"/>
      <c r="J796" s="9"/>
      <c r="K796" s="9"/>
      <c r="L796" s="9"/>
      <c r="M796" s="11"/>
      <c r="N796" s="11"/>
      <c r="O796" s="11"/>
      <c r="P796" s="11"/>
    </row>
    <row r="797" spans="4:16" ht="12.75" customHeight="1" x14ac:dyDescent="0.35">
      <c r="D797" s="8"/>
      <c r="E797" s="9"/>
      <c r="F797" s="9"/>
      <c r="G797" s="12"/>
      <c r="H797" s="9"/>
      <c r="I797" s="9"/>
      <c r="J797" s="9"/>
      <c r="K797" s="9"/>
      <c r="L797" s="9"/>
      <c r="M797" s="11"/>
      <c r="N797" s="11"/>
      <c r="O797" s="11"/>
      <c r="P797" s="11"/>
    </row>
    <row r="798" spans="4:16" ht="12.75" customHeight="1" x14ac:dyDescent="0.35">
      <c r="D798" s="8"/>
      <c r="E798" s="9"/>
      <c r="F798" s="9"/>
      <c r="G798" s="12"/>
      <c r="H798" s="9"/>
      <c r="I798" s="9"/>
      <c r="J798" s="9"/>
      <c r="K798" s="9"/>
      <c r="L798" s="9"/>
      <c r="M798" s="11"/>
      <c r="N798" s="11"/>
      <c r="O798" s="11"/>
      <c r="P798" s="11"/>
    </row>
    <row r="799" spans="4:16" ht="12.75" customHeight="1" x14ac:dyDescent="0.35">
      <c r="D799" s="8"/>
      <c r="E799" s="9"/>
      <c r="F799" s="9"/>
      <c r="G799" s="12"/>
      <c r="H799" s="9"/>
      <c r="I799" s="9"/>
      <c r="J799" s="9"/>
      <c r="K799" s="9"/>
      <c r="L799" s="9"/>
      <c r="M799" s="11"/>
      <c r="N799" s="11"/>
      <c r="O799" s="11"/>
      <c r="P799" s="11"/>
    </row>
    <row r="800" spans="4:16" ht="12.75" customHeight="1" x14ac:dyDescent="0.35">
      <c r="D800" s="8"/>
      <c r="E800" s="9"/>
      <c r="F800" s="9"/>
      <c r="G800" s="12"/>
      <c r="H800" s="9"/>
      <c r="I800" s="9"/>
      <c r="J800" s="9"/>
      <c r="K800" s="9"/>
      <c r="L800" s="9"/>
      <c r="M800" s="11"/>
      <c r="N800" s="11"/>
      <c r="O800" s="11"/>
      <c r="P800" s="11"/>
    </row>
    <row r="801" spans="4:16" ht="12.75" customHeight="1" x14ac:dyDescent="0.35">
      <c r="D801" s="8"/>
      <c r="E801" s="9"/>
      <c r="F801" s="9"/>
      <c r="G801" s="12"/>
      <c r="H801" s="9"/>
      <c r="I801" s="9"/>
      <c r="J801" s="9"/>
      <c r="K801" s="9"/>
      <c r="L801" s="9"/>
      <c r="M801" s="11"/>
      <c r="N801" s="11"/>
      <c r="O801" s="11"/>
      <c r="P801" s="11"/>
    </row>
    <row r="802" spans="4:16" ht="12.75" customHeight="1" x14ac:dyDescent="0.35">
      <c r="D802" s="8"/>
      <c r="E802" s="9"/>
      <c r="F802" s="9"/>
      <c r="G802" s="12"/>
      <c r="H802" s="9"/>
      <c r="I802" s="9"/>
      <c r="J802" s="9"/>
      <c r="K802" s="9"/>
      <c r="L802" s="9"/>
      <c r="M802" s="11"/>
      <c r="N802" s="11"/>
      <c r="O802" s="11"/>
      <c r="P802" s="11"/>
    </row>
    <row r="803" spans="4:16" ht="12.75" customHeight="1" x14ac:dyDescent="0.35">
      <c r="D803" s="8"/>
      <c r="E803" s="9"/>
      <c r="F803" s="9"/>
      <c r="G803" s="12"/>
      <c r="H803" s="9"/>
      <c r="I803" s="9"/>
      <c r="J803" s="9"/>
      <c r="K803" s="9"/>
      <c r="L803" s="9"/>
      <c r="M803" s="11"/>
      <c r="N803" s="11"/>
      <c r="O803" s="11"/>
      <c r="P803" s="11"/>
    </row>
    <row r="804" spans="4:16" ht="12.75" customHeight="1" x14ac:dyDescent="0.35">
      <c r="D804" s="8"/>
      <c r="E804" s="9"/>
      <c r="F804" s="9"/>
      <c r="G804" s="12"/>
      <c r="H804" s="9"/>
      <c r="I804" s="9"/>
      <c r="J804" s="9"/>
      <c r="K804" s="9"/>
      <c r="L804" s="9"/>
      <c r="M804" s="11"/>
      <c r="N804" s="11"/>
      <c r="O804" s="11"/>
      <c r="P804" s="11"/>
    </row>
    <row r="805" spans="4:16" ht="12.75" customHeight="1" x14ac:dyDescent="0.35">
      <c r="D805" s="8"/>
      <c r="E805" s="9"/>
      <c r="F805" s="9"/>
      <c r="G805" s="12"/>
      <c r="H805" s="9"/>
      <c r="I805" s="9"/>
      <c r="J805" s="9"/>
      <c r="K805" s="9"/>
      <c r="L805" s="9"/>
      <c r="M805" s="11"/>
      <c r="N805" s="11"/>
      <c r="O805" s="11"/>
      <c r="P805" s="11"/>
    </row>
    <row r="806" spans="4:16" ht="12.75" customHeight="1" x14ac:dyDescent="0.35">
      <c r="D806" s="8"/>
      <c r="E806" s="9"/>
      <c r="F806" s="9"/>
      <c r="G806" s="12"/>
      <c r="H806" s="9"/>
      <c r="I806" s="9"/>
      <c r="J806" s="9"/>
      <c r="K806" s="9"/>
      <c r="L806" s="9"/>
      <c r="M806" s="11"/>
      <c r="N806" s="11"/>
      <c r="O806" s="11"/>
      <c r="P806" s="11"/>
    </row>
    <row r="807" spans="4:16" ht="12.75" customHeight="1" x14ac:dyDescent="0.35">
      <c r="D807" s="8"/>
      <c r="E807" s="9"/>
      <c r="F807" s="9"/>
      <c r="G807" s="12"/>
      <c r="H807" s="9"/>
      <c r="I807" s="9"/>
      <c r="J807" s="9"/>
      <c r="K807" s="9"/>
      <c r="L807" s="9"/>
      <c r="M807" s="11"/>
      <c r="N807" s="11"/>
      <c r="O807" s="11"/>
      <c r="P807" s="11"/>
    </row>
    <row r="808" spans="4:16" ht="12.75" customHeight="1" x14ac:dyDescent="0.35">
      <c r="D808" s="8"/>
      <c r="E808" s="9"/>
      <c r="F808" s="9"/>
      <c r="G808" s="12"/>
      <c r="H808" s="9"/>
      <c r="I808" s="9"/>
      <c r="J808" s="9"/>
      <c r="K808" s="9"/>
      <c r="L808" s="9"/>
      <c r="M808" s="11"/>
      <c r="N808" s="11"/>
      <c r="O808" s="11"/>
      <c r="P808" s="11"/>
    </row>
    <row r="809" spans="4:16" ht="12.75" customHeight="1" x14ac:dyDescent="0.35">
      <c r="D809" s="8"/>
      <c r="E809" s="9"/>
      <c r="F809" s="9"/>
      <c r="G809" s="12"/>
      <c r="H809" s="9"/>
      <c r="I809" s="9"/>
      <c r="J809" s="9"/>
      <c r="K809" s="9"/>
      <c r="L809" s="9"/>
      <c r="M809" s="11"/>
      <c r="N809" s="11"/>
      <c r="O809" s="11"/>
      <c r="P809" s="11"/>
    </row>
    <row r="810" spans="4:16" ht="12.75" customHeight="1" x14ac:dyDescent="0.35">
      <c r="D810" s="8"/>
      <c r="E810" s="9"/>
      <c r="F810" s="9"/>
      <c r="G810" s="12"/>
      <c r="H810" s="9"/>
      <c r="I810" s="9"/>
      <c r="J810" s="9"/>
      <c r="K810" s="9"/>
      <c r="L810" s="9"/>
      <c r="M810" s="11"/>
      <c r="N810" s="11"/>
      <c r="O810" s="11"/>
      <c r="P810" s="11"/>
    </row>
    <row r="811" spans="4:16" ht="12.75" customHeight="1" x14ac:dyDescent="0.35">
      <c r="D811" s="8"/>
      <c r="E811" s="9"/>
      <c r="F811" s="9"/>
      <c r="G811" s="12"/>
      <c r="H811" s="9"/>
      <c r="I811" s="9"/>
      <c r="J811" s="9"/>
      <c r="K811" s="9"/>
      <c r="L811" s="9"/>
      <c r="M811" s="11"/>
      <c r="N811" s="11"/>
      <c r="O811" s="11"/>
      <c r="P811" s="11"/>
    </row>
    <row r="812" spans="4:16" ht="12.75" customHeight="1" x14ac:dyDescent="0.35">
      <c r="D812" s="8"/>
      <c r="E812" s="9"/>
      <c r="F812" s="9"/>
      <c r="G812" s="12"/>
      <c r="H812" s="9"/>
      <c r="I812" s="9"/>
      <c r="J812" s="9"/>
      <c r="K812" s="9"/>
      <c r="L812" s="9"/>
      <c r="M812" s="11"/>
      <c r="N812" s="11"/>
      <c r="O812" s="11"/>
      <c r="P812" s="11"/>
    </row>
    <row r="813" spans="4:16" ht="12.75" customHeight="1" x14ac:dyDescent="0.35">
      <c r="D813" s="8"/>
      <c r="E813" s="9"/>
      <c r="F813" s="9"/>
      <c r="G813" s="12"/>
      <c r="H813" s="9"/>
      <c r="I813" s="9"/>
      <c r="J813" s="9"/>
      <c r="K813" s="9"/>
      <c r="L813" s="9"/>
      <c r="M813" s="11"/>
      <c r="N813" s="11"/>
      <c r="O813" s="11"/>
      <c r="P813" s="11"/>
    </row>
    <row r="814" spans="4:16" ht="12.75" customHeight="1" x14ac:dyDescent="0.35">
      <c r="D814" s="8"/>
      <c r="E814" s="9"/>
      <c r="F814" s="9"/>
      <c r="G814" s="12"/>
      <c r="H814" s="9"/>
      <c r="I814" s="9"/>
      <c r="J814" s="9"/>
      <c r="K814" s="9"/>
      <c r="L814" s="9"/>
      <c r="M814" s="11"/>
      <c r="N814" s="11"/>
      <c r="O814" s="11"/>
      <c r="P814" s="11"/>
    </row>
    <row r="815" spans="4:16" ht="12.75" customHeight="1" x14ac:dyDescent="0.35">
      <c r="D815" s="8"/>
      <c r="E815" s="9"/>
      <c r="F815" s="9"/>
      <c r="G815" s="12"/>
      <c r="H815" s="9"/>
      <c r="I815" s="9"/>
      <c r="J815" s="9"/>
      <c r="K815" s="9"/>
      <c r="L815" s="9"/>
      <c r="M815" s="11"/>
      <c r="N815" s="11"/>
      <c r="O815" s="11"/>
      <c r="P815" s="11"/>
    </row>
    <row r="816" spans="4:16" ht="12.75" customHeight="1" x14ac:dyDescent="0.35">
      <c r="D816" s="8"/>
      <c r="E816" s="9"/>
      <c r="F816" s="9"/>
      <c r="G816" s="12"/>
      <c r="H816" s="9"/>
      <c r="I816" s="9"/>
      <c r="J816" s="9"/>
      <c r="K816" s="9"/>
      <c r="L816" s="9"/>
      <c r="M816" s="11"/>
      <c r="N816" s="11"/>
      <c r="O816" s="11"/>
      <c r="P816" s="11"/>
    </row>
    <row r="817" spans="4:16" ht="12.75" customHeight="1" x14ac:dyDescent="0.35">
      <c r="D817" s="8"/>
      <c r="E817" s="9"/>
      <c r="F817" s="9"/>
      <c r="G817" s="12"/>
      <c r="H817" s="9"/>
      <c r="I817" s="9"/>
      <c r="J817" s="9"/>
      <c r="K817" s="9"/>
      <c r="L817" s="9"/>
      <c r="M817" s="11"/>
      <c r="N817" s="11"/>
      <c r="O817" s="11"/>
      <c r="P817" s="11"/>
    </row>
    <row r="818" spans="4:16" ht="12.75" customHeight="1" x14ac:dyDescent="0.35">
      <c r="D818" s="8"/>
      <c r="E818" s="9"/>
      <c r="F818" s="9"/>
      <c r="G818" s="12"/>
      <c r="H818" s="9"/>
      <c r="I818" s="9"/>
      <c r="J818" s="9"/>
      <c r="K818" s="9"/>
      <c r="L818" s="9"/>
      <c r="M818" s="11"/>
      <c r="N818" s="11"/>
      <c r="O818" s="11"/>
      <c r="P818" s="11"/>
    </row>
    <row r="819" spans="4:16" ht="12.75" customHeight="1" x14ac:dyDescent="0.35">
      <c r="D819" s="8"/>
      <c r="E819" s="9"/>
      <c r="F819" s="9"/>
      <c r="G819" s="12"/>
      <c r="H819" s="9"/>
      <c r="I819" s="9"/>
      <c r="J819" s="9"/>
      <c r="K819" s="9"/>
      <c r="L819" s="9"/>
      <c r="M819" s="11"/>
      <c r="N819" s="11"/>
      <c r="O819" s="11"/>
      <c r="P819" s="11"/>
    </row>
    <row r="820" spans="4:16" ht="12.75" customHeight="1" x14ac:dyDescent="0.35">
      <c r="D820" s="8"/>
      <c r="E820" s="9"/>
      <c r="F820" s="9"/>
      <c r="G820" s="12"/>
      <c r="H820" s="9"/>
      <c r="I820" s="9"/>
      <c r="J820" s="9"/>
      <c r="K820" s="9"/>
      <c r="L820" s="9"/>
      <c r="M820" s="11"/>
      <c r="N820" s="11"/>
      <c r="O820" s="11"/>
      <c r="P820" s="11"/>
    </row>
    <row r="821" spans="4:16" ht="12.75" customHeight="1" x14ac:dyDescent="0.35">
      <c r="D821" s="8"/>
      <c r="E821" s="9"/>
      <c r="F821" s="9"/>
      <c r="G821" s="12"/>
      <c r="H821" s="9"/>
      <c r="I821" s="9"/>
      <c r="J821" s="9"/>
      <c r="K821" s="9"/>
      <c r="L821" s="9"/>
      <c r="M821" s="11"/>
      <c r="N821" s="11"/>
      <c r="O821" s="11"/>
      <c r="P821" s="11"/>
    </row>
    <row r="822" spans="4:16" ht="12.75" customHeight="1" x14ac:dyDescent="0.35">
      <c r="D822" s="8"/>
      <c r="E822" s="9"/>
      <c r="F822" s="9"/>
      <c r="G822" s="12"/>
      <c r="H822" s="9"/>
      <c r="I822" s="9"/>
      <c r="J822" s="9"/>
      <c r="K822" s="9"/>
      <c r="L822" s="9"/>
      <c r="M822" s="11"/>
      <c r="N822" s="11"/>
      <c r="O822" s="11"/>
      <c r="P822" s="11"/>
    </row>
    <row r="823" spans="4:16" ht="12.75" customHeight="1" x14ac:dyDescent="0.35">
      <c r="D823" s="8"/>
      <c r="E823" s="9"/>
      <c r="F823" s="9"/>
      <c r="G823" s="12"/>
      <c r="H823" s="9"/>
      <c r="I823" s="9"/>
      <c r="J823" s="9"/>
      <c r="K823" s="9"/>
      <c r="L823" s="9"/>
      <c r="M823" s="11"/>
      <c r="N823" s="11"/>
      <c r="O823" s="11"/>
      <c r="P823" s="11"/>
    </row>
    <row r="824" spans="4:16" ht="12.75" customHeight="1" x14ac:dyDescent="0.35">
      <c r="D824" s="8"/>
      <c r="E824" s="9"/>
      <c r="F824" s="9"/>
      <c r="G824" s="12"/>
      <c r="H824" s="9"/>
      <c r="I824" s="9"/>
      <c r="J824" s="9"/>
      <c r="K824" s="9"/>
      <c r="L824" s="9"/>
      <c r="M824" s="11"/>
      <c r="N824" s="11"/>
      <c r="O824" s="11"/>
      <c r="P824" s="11"/>
    </row>
    <row r="825" spans="4:16" ht="12.75" customHeight="1" x14ac:dyDescent="0.35">
      <c r="D825" s="8"/>
      <c r="E825" s="9"/>
      <c r="F825" s="9"/>
      <c r="G825" s="12"/>
      <c r="H825" s="9"/>
      <c r="I825" s="9"/>
      <c r="J825" s="9"/>
      <c r="K825" s="9"/>
      <c r="L825" s="9"/>
      <c r="M825" s="11"/>
      <c r="N825" s="11"/>
      <c r="O825" s="11"/>
      <c r="P825" s="11"/>
    </row>
    <row r="826" spans="4:16" ht="12.75" customHeight="1" x14ac:dyDescent="0.35">
      <c r="D826" s="8"/>
      <c r="E826" s="9"/>
      <c r="F826" s="9"/>
      <c r="G826" s="12"/>
      <c r="H826" s="9"/>
      <c r="I826" s="9"/>
      <c r="J826" s="9"/>
      <c r="K826" s="9"/>
      <c r="L826" s="9"/>
      <c r="M826" s="11"/>
      <c r="N826" s="11"/>
      <c r="O826" s="11"/>
      <c r="P826" s="11"/>
    </row>
    <row r="827" spans="4:16" ht="12.75" customHeight="1" x14ac:dyDescent="0.35">
      <c r="D827" s="8"/>
      <c r="E827" s="9"/>
      <c r="F827" s="9"/>
      <c r="G827" s="12"/>
      <c r="H827" s="9"/>
      <c r="I827" s="9"/>
      <c r="J827" s="9"/>
      <c r="K827" s="9"/>
      <c r="L827" s="9"/>
      <c r="M827" s="11"/>
      <c r="N827" s="11"/>
      <c r="O827" s="11"/>
      <c r="P827" s="11"/>
    </row>
    <row r="828" spans="4:16" ht="12.75" customHeight="1" x14ac:dyDescent="0.35">
      <c r="D828" s="8"/>
      <c r="E828" s="9"/>
      <c r="F828" s="9"/>
      <c r="G828" s="12"/>
      <c r="H828" s="9"/>
      <c r="I828" s="9"/>
      <c r="J828" s="9"/>
      <c r="K828" s="9"/>
      <c r="L828" s="9"/>
      <c r="M828" s="11"/>
      <c r="N828" s="11"/>
      <c r="O828" s="11"/>
      <c r="P828" s="11"/>
    </row>
    <row r="829" spans="4:16" ht="12.75" customHeight="1" x14ac:dyDescent="0.35">
      <c r="D829" s="8"/>
      <c r="E829" s="9"/>
      <c r="F829" s="9"/>
      <c r="G829" s="12"/>
      <c r="H829" s="9"/>
      <c r="I829" s="9"/>
      <c r="J829" s="9"/>
      <c r="K829" s="9"/>
      <c r="L829" s="9"/>
      <c r="M829" s="11"/>
      <c r="N829" s="11"/>
      <c r="O829" s="11"/>
      <c r="P829" s="11"/>
    </row>
    <row r="830" spans="4:16" ht="12.75" customHeight="1" x14ac:dyDescent="0.35">
      <c r="D830" s="8"/>
      <c r="E830" s="9"/>
      <c r="F830" s="9"/>
      <c r="G830" s="12"/>
      <c r="H830" s="9"/>
      <c r="I830" s="9"/>
      <c r="J830" s="9"/>
      <c r="K830" s="9"/>
      <c r="L830" s="9"/>
      <c r="M830" s="11"/>
      <c r="N830" s="11"/>
      <c r="O830" s="11"/>
      <c r="P830" s="11"/>
    </row>
    <row r="831" spans="4:16" ht="12.75" customHeight="1" x14ac:dyDescent="0.35">
      <c r="D831" s="8"/>
      <c r="E831" s="9"/>
      <c r="F831" s="9"/>
      <c r="G831" s="12"/>
      <c r="H831" s="9"/>
      <c r="I831" s="9"/>
      <c r="J831" s="9"/>
      <c r="K831" s="9"/>
      <c r="L831" s="9"/>
      <c r="M831" s="11"/>
      <c r="N831" s="11"/>
      <c r="O831" s="11"/>
      <c r="P831" s="11"/>
    </row>
    <row r="832" spans="4:16" ht="12.75" customHeight="1" x14ac:dyDescent="0.35">
      <c r="D832" s="8"/>
      <c r="E832" s="9"/>
      <c r="F832" s="9"/>
      <c r="G832" s="12"/>
      <c r="H832" s="9"/>
      <c r="I832" s="9"/>
      <c r="J832" s="9"/>
      <c r="K832" s="9"/>
      <c r="L832" s="9"/>
      <c r="M832" s="11"/>
      <c r="N832" s="11"/>
      <c r="O832" s="11"/>
      <c r="P832" s="11"/>
    </row>
    <row r="833" spans="4:16" ht="12.75" customHeight="1" x14ac:dyDescent="0.35">
      <c r="D833" s="8"/>
      <c r="E833" s="9"/>
      <c r="F833" s="9"/>
      <c r="G833" s="12"/>
      <c r="H833" s="9"/>
      <c r="I833" s="9"/>
      <c r="J833" s="9"/>
      <c r="K833" s="9"/>
      <c r="L833" s="9"/>
      <c r="M833" s="11"/>
      <c r="N833" s="11"/>
      <c r="O833" s="11"/>
      <c r="P833" s="11"/>
    </row>
    <row r="834" spans="4:16" ht="12.75" customHeight="1" x14ac:dyDescent="0.35">
      <c r="D834" s="8"/>
      <c r="E834" s="9"/>
      <c r="F834" s="9"/>
      <c r="G834" s="12"/>
      <c r="H834" s="9"/>
      <c r="I834" s="9"/>
      <c r="J834" s="9"/>
      <c r="K834" s="9"/>
      <c r="L834" s="9"/>
      <c r="M834" s="11"/>
      <c r="N834" s="11"/>
      <c r="O834" s="11"/>
      <c r="P834" s="11"/>
    </row>
    <row r="835" spans="4:16" ht="12.75" customHeight="1" x14ac:dyDescent="0.35">
      <c r="D835" s="8"/>
      <c r="E835" s="9"/>
      <c r="F835" s="9"/>
      <c r="G835" s="12"/>
      <c r="H835" s="9"/>
      <c r="I835" s="9"/>
      <c r="J835" s="9"/>
      <c r="K835" s="9"/>
      <c r="L835" s="9"/>
      <c r="M835" s="11"/>
      <c r="N835" s="11"/>
      <c r="O835" s="11"/>
      <c r="P835" s="11"/>
    </row>
    <row r="836" spans="4:16" ht="12.75" customHeight="1" x14ac:dyDescent="0.35">
      <c r="D836" s="8"/>
      <c r="E836" s="9"/>
      <c r="F836" s="9"/>
      <c r="G836" s="12"/>
      <c r="H836" s="9"/>
      <c r="I836" s="9"/>
      <c r="J836" s="9"/>
      <c r="K836" s="9"/>
      <c r="L836" s="9"/>
      <c r="M836" s="11"/>
      <c r="N836" s="11"/>
      <c r="O836" s="11"/>
      <c r="P836" s="11"/>
    </row>
    <row r="837" spans="4:16" ht="12.75" customHeight="1" x14ac:dyDescent="0.35">
      <c r="D837" s="8"/>
      <c r="E837" s="9"/>
      <c r="F837" s="9"/>
      <c r="G837" s="12"/>
      <c r="H837" s="9"/>
      <c r="I837" s="9"/>
      <c r="J837" s="9"/>
      <c r="K837" s="9"/>
      <c r="L837" s="9"/>
      <c r="M837" s="11"/>
      <c r="N837" s="11"/>
      <c r="O837" s="11"/>
      <c r="P837" s="11"/>
    </row>
    <row r="838" spans="4:16" ht="12.75" customHeight="1" x14ac:dyDescent="0.35">
      <c r="D838" s="8"/>
      <c r="E838" s="9"/>
      <c r="F838" s="9"/>
      <c r="G838" s="12"/>
      <c r="H838" s="9"/>
      <c r="I838" s="9"/>
      <c r="J838" s="9"/>
      <c r="K838" s="9"/>
      <c r="L838" s="9"/>
      <c r="M838" s="11"/>
      <c r="N838" s="11"/>
      <c r="O838" s="11"/>
      <c r="P838" s="11"/>
    </row>
    <row r="839" spans="4:16" ht="12.75" customHeight="1" x14ac:dyDescent="0.35">
      <c r="D839" s="8"/>
      <c r="E839" s="9"/>
      <c r="F839" s="9"/>
      <c r="G839" s="12"/>
      <c r="H839" s="9"/>
      <c r="I839" s="9"/>
      <c r="J839" s="9"/>
      <c r="K839" s="9"/>
      <c r="L839" s="9"/>
      <c r="M839" s="11"/>
      <c r="N839" s="11"/>
      <c r="O839" s="11"/>
      <c r="P839" s="11"/>
    </row>
    <row r="840" spans="4:16" ht="12.75" customHeight="1" x14ac:dyDescent="0.35">
      <c r="D840" s="8"/>
      <c r="E840" s="9"/>
      <c r="F840" s="9"/>
      <c r="G840" s="12"/>
      <c r="H840" s="9"/>
      <c r="I840" s="9"/>
      <c r="J840" s="9"/>
      <c r="K840" s="9"/>
      <c r="L840" s="9"/>
      <c r="M840" s="11"/>
      <c r="N840" s="11"/>
      <c r="O840" s="11"/>
      <c r="P840" s="11"/>
    </row>
    <row r="841" spans="4:16" ht="12.75" customHeight="1" x14ac:dyDescent="0.35">
      <c r="D841" s="8"/>
      <c r="E841" s="9"/>
      <c r="F841" s="9"/>
      <c r="G841" s="12"/>
      <c r="H841" s="9"/>
      <c r="I841" s="9"/>
      <c r="J841" s="9"/>
      <c r="K841" s="9"/>
      <c r="L841" s="9"/>
      <c r="M841" s="11"/>
      <c r="N841" s="11"/>
      <c r="O841" s="11"/>
      <c r="P841" s="11"/>
    </row>
    <row r="842" spans="4:16" ht="12.75" customHeight="1" x14ac:dyDescent="0.35">
      <c r="D842" s="8"/>
      <c r="E842" s="9"/>
      <c r="F842" s="9"/>
      <c r="G842" s="12"/>
      <c r="H842" s="9"/>
      <c r="I842" s="9"/>
      <c r="J842" s="9"/>
      <c r="K842" s="9"/>
      <c r="L842" s="9"/>
      <c r="M842" s="11"/>
      <c r="N842" s="11"/>
      <c r="O842" s="11"/>
      <c r="P842" s="11"/>
    </row>
    <row r="843" spans="4:16" ht="12.75" customHeight="1" x14ac:dyDescent="0.35">
      <c r="D843" s="8"/>
      <c r="E843" s="9"/>
      <c r="F843" s="9"/>
      <c r="G843" s="12"/>
      <c r="H843" s="9"/>
      <c r="I843" s="9"/>
      <c r="J843" s="9"/>
      <c r="K843" s="9"/>
      <c r="L843" s="9"/>
      <c r="M843" s="11"/>
      <c r="N843" s="11"/>
      <c r="O843" s="11"/>
      <c r="P843" s="11"/>
    </row>
    <row r="844" spans="4:16" ht="12.75" customHeight="1" x14ac:dyDescent="0.35">
      <c r="D844" s="8"/>
      <c r="E844" s="9"/>
      <c r="F844" s="9"/>
      <c r="G844" s="12"/>
      <c r="H844" s="9"/>
      <c r="I844" s="9"/>
      <c r="J844" s="9"/>
      <c r="K844" s="9"/>
      <c r="L844" s="9"/>
      <c r="M844" s="11"/>
      <c r="N844" s="11"/>
      <c r="O844" s="11"/>
      <c r="P844" s="11"/>
    </row>
    <row r="845" spans="4:16" ht="12.75" customHeight="1" x14ac:dyDescent="0.35">
      <c r="D845" s="8"/>
      <c r="E845" s="9"/>
      <c r="F845" s="9"/>
      <c r="G845" s="12"/>
      <c r="H845" s="9"/>
      <c r="I845" s="9"/>
      <c r="J845" s="9"/>
      <c r="K845" s="9"/>
      <c r="L845" s="9"/>
      <c r="M845" s="11"/>
      <c r="N845" s="11"/>
      <c r="O845" s="11"/>
      <c r="P845" s="11"/>
    </row>
    <row r="846" spans="4:16" ht="12.75" customHeight="1" x14ac:dyDescent="0.35">
      <c r="D846" s="8"/>
      <c r="E846" s="9"/>
      <c r="F846" s="9"/>
      <c r="G846" s="12"/>
      <c r="H846" s="9"/>
      <c r="I846" s="9"/>
      <c r="J846" s="9"/>
      <c r="K846" s="9"/>
      <c r="L846" s="9"/>
      <c r="M846" s="11"/>
      <c r="N846" s="11"/>
      <c r="O846" s="11"/>
      <c r="P846" s="11"/>
    </row>
    <row r="847" spans="4:16" ht="12.75" customHeight="1" x14ac:dyDescent="0.35">
      <c r="D847" s="8"/>
      <c r="E847" s="9"/>
      <c r="F847" s="9"/>
      <c r="G847" s="12"/>
      <c r="H847" s="9"/>
      <c r="I847" s="9"/>
      <c r="J847" s="9"/>
      <c r="K847" s="9"/>
      <c r="L847" s="9"/>
      <c r="M847" s="11"/>
      <c r="N847" s="11"/>
      <c r="O847" s="11"/>
      <c r="P847" s="11"/>
    </row>
    <row r="848" spans="4:16" ht="12.75" customHeight="1" x14ac:dyDescent="0.35">
      <c r="D848" s="8"/>
      <c r="E848" s="9"/>
      <c r="F848" s="9"/>
      <c r="G848" s="12"/>
      <c r="H848" s="9"/>
      <c r="I848" s="9"/>
      <c r="J848" s="9"/>
      <c r="K848" s="9"/>
      <c r="L848" s="9"/>
      <c r="M848" s="11"/>
      <c r="N848" s="11"/>
      <c r="O848" s="11"/>
      <c r="P848" s="11"/>
    </row>
    <row r="849" spans="4:16" ht="12.75" customHeight="1" x14ac:dyDescent="0.35">
      <c r="D849" s="8"/>
      <c r="E849" s="9"/>
      <c r="F849" s="9"/>
      <c r="G849" s="12"/>
      <c r="H849" s="9"/>
      <c r="I849" s="9"/>
      <c r="J849" s="9"/>
      <c r="K849" s="9"/>
      <c r="L849" s="9"/>
      <c r="M849" s="11"/>
      <c r="N849" s="11"/>
      <c r="O849" s="11"/>
      <c r="P849" s="11"/>
    </row>
    <row r="850" spans="4:16" ht="12.75" customHeight="1" x14ac:dyDescent="0.35">
      <c r="D850" s="8"/>
      <c r="E850" s="9"/>
      <c r="F850" s="9"/>
      <c r="G850" s="12"/>
      <c r="H850" s="9"/>
      <c r="I850" s="9"/>
      <c r="J850" s="9"/>
      <c r="K850" s="9"/>
      <c r="L850" s="9"/>
      <c r="M850" s="11"/>
      <c r="N850" s="11"/>
      <c r="O850" s="11"/>
      <c r="P850" s="11"/>
    </row>
    <row r="851" spans="4:16" ht="12.75" customHeight="1" x14ac:dyDescent="0.35">
      <c r="D851" s="8"/>
      <c r="E851" s="9"/>
      <c r="F851" s="9"/>
      <c r="G851" s="12"/>
      <c r="H851" s="9"/>
      <c r="I851" s="9"/>
      <c r="J851" s="9"/>
      <c r="K851" s="9"/>
      <c r="L851" s="9"/>
      <c r="M851" s="11"/>
      <c r="N851" s="11"/>
      <c r="O851" s="11"/>
      <c r="P851" s="11"/>
    </row>
    <row r="852" spans="4:16" ht="12.75" customHeight="1" x14ac:dyDescent="0.35">
      <c r="D852" s="8"/>
      <c r="E852" s="9"/>
      <c r="F852" s="9"/>
      <c r="G852" s="12"/>
      <c r="H852" s="9"/>
      <c r="I852" s="9"/>
      <c r="J852" s="9"/>
      <c r="K852" s="9"/>
      <c r="L852" s="9"/>
      <c r="M852" s="11"/>
      <c r="N852" s="11"/>
      <c r="O852" s="11"/>
      <c r="P852" s="11"/>
    </row>
    <row r="853" spans="4:16" ht="12.75" customHeight="1" x14ac:dyDescent="0.35">
      <c r="D853" s="8"/>
      <c r="E853" s="9"/>
      <c r="F853" s="9"/>
      <c r="G853" s="12"/>
      <c r="H853" s="9"/>
      <c r="I853" s="9"/>
      <c r="J853" s="9"/>
      <c r="K853" s="9"/>
      <c r="L853" s="9"/>
      <c r="M853" s="11"/>
      <c r="N853" s="11"/>
      <c r="O853" s="11"/>
      <c r="P853" s="11"/>
    </row>
    <row r="854" spans="4:16" ht="12.75" customHeight="1" x14ac:dyDescent="0.35">
      <c r="D854" s="8"/>
      <c r="E854" s="9"/>
      <c r="F854" s="9"/>
      <c r="G854" s="12"/>
      <c r="H854" s="9"/>
      <c r="I854" s="9"/>
      <c r="J854" s="9"/>
      <c r="K854" s="9"/>
      <c r="L854" s="9"/>
      <c r="M854" s="11"/>
      <c r="N854" s="11"/>
      <c r="O854" s="11"/>
      <c r="P854" s="11"/>
    </row>
    <row r="855" spans="4:16" ht="12.75" customHeight="1" x14ac:dyDescent="0.35">
      <c r="D855" s="8"/>
      <c r="E855" s="9"/>
      <c r="F855" s="9"/>
      <c r="G855" s="12"/>
      <c r="H855" s="9"/>
      <c r="I855" s="9"/>
      <c r="J855" s="9"/>
      <c r="K855" s="9"/>
      <c r="L855" s="9"/>
      <c r="M855" s="11"/>
      <c r="N855" s="11"/>
      <c r="O855" s="11"/>
      <c r="P855" s="11"/>
    </row>
    <row r="856" spans="4:16" ht="12.75" customHeight="1" x14ac:dyDescent="0.35">
      <c r="D856" s="8"/>
      <c r="E856" s="9"/>
      <c r="F856" s="9"/>
      <c r="G856" s="12"/>
      <c r="H856" s="9"/>
      <c r="I856" s="9"/>
      <c r="J856" s="9"/>
      <c r="K856" s="9"/>
      <c r="L856" s="9"/>
      <c r="M856" s="11"/>
      <c r="N856" s="11"/>
      <c r="O856" s="11"/>
      <c r="P856" s="11"/>
    </row>
    <row r="857" spans="4:16" ht="12.75" customHeight="1" x14ac:dyDescent="0.35">
      <c r="D857" s="8"/>
      <c r="E857" s="9"/>
      <c r="F857" s="9"/>
      <c r="G857" s="12"/>
      <c r="H857" s="9"/>
      <c r="I857" s="9"/>
      <c r="J857" s="9"/>
      <c r="K857" s="9"/>
      <c r="L857" s="9"/>
      <c r="M857" s="11"/>
      <c r="N857" s="11"/>
      <c r="O857" s="11"/>
      <c r="P857" s="11"/>
    </row>
    <row r="858" spans="4:16" ht="12.75" customHeight="1" x14ac:dyDescent="0.35">
      <c r="D858" s="8"/>
      <c r="E858" s="9"/>
      <c r="F858" s="9"/>
      <c r="G858" s="12"/>
      <c r="H858" s="9"/>
      <c r="I858" s="9"/>
      <c r="J858" s="9"/>
      <c r="K858" s="9"/>
      <c r="L858" s="9"/>
      <c r="M858" s="11"/>
      <c r="N858" s="11"/>
      <c r="O858" s="11"/>
      <c r="P858" s="11"/>
    </row>
    <row r="859" spans="4:16" ht="12.75" customHeight="1" x14ac:dyDescent="0.35">
      <c r="D859" s="8"/>
      <c r="E859" s="9"/>
      <c r="F859" s="9"/>
      <c r="G859" s="12"/>
      <c r="H859" s="9"/>
      <c r="I859" s="9"/>
      <c r="J859" s="9"/>
      <c r="K859" s="9"/>
      <c r="L859" s="9"/>
      <c r="M859" s="11"/>
      <c r="N859" s="11"/>
      <c r="O859" s="11"/>
      <c r="P859" s="11"/>
    </row>
    <row r="860" spans="4:16" ht="12.75" customHeight="1" x14ac:dyDescent="0.35">
      <c r="D860" s="8"/>
      <c r="E860" s="9"/>
      <c r="F860" s="9"/>
      <c r="G860" s="12"/>
      <c r="H860" s="9"/>
      <c r="I860" s="9"/>
      <c r="J860" s="9"/>
      <c r="K860" s="9"/>
      <c r="L860" s="9"/>
      <c r="M860" s="11"/>
      <c r="N860" s="11"/>
      <c r="O860" s="11"/>
      <c r="P860" s="11"/>
    </row>
    <row r="861" spans="4:16" ht="12.75" customHeight="1" x14ac:dyDescent="0.35">
      <c r="D861" s="8"/>
      <c r="E861" s="9"/>
      <c r="F861" s="9"/>
      <c r="G861" s="12"/>
      <c r="H861" s="9"/>
      <c r="I861" s="9"/>
      <c r="J861" s="9"/>
      <c r="K861" s="9"/>
      <c r="L861" s="9"/>
      <c r="M861" s="11"/>
      <c r="N861" s="11"/>
      <c r="O861" s="11"/>
      <c r="P861" s="11"/>
    </row>
    <row r="862" spans="4:16" ht="12.75" customHeight="1" x14ac:dyDescent="0.35">
      <c r="D862" s="8"/>
      <c r="E862" s="9"/>
      <c r="F862" s="9"/>
      <c r="G862" s="12"/>
      <c r="H862" s="9"/>
      <c r="I862" s="9"/>
      <c r="J862" s="9"/>
      <c r="K862" s="9"/>
      <c r="L862" s="9"/>
      <c r="M862" s="11"/>
      <c r="N862" s="11"/>
      <c r="O862" s="11"/>
      <c r="P862" s="11"/>
    </row>
    <row r="863" spans="4:16" ht="12.75" customHeight="1" x14ac:dyDescent="0.35">
      <c r="D863" s="8"/>
      <c r="E863" s="9"/>
      <c r="F863" s="9"/>
      <c r="G863" s="12"/>
      <c r="H863" s="9"/>
      <c r="I863" s="9"/>
      <c r="J863" s="9"/>
      <c r="K863" s="9"/>
      <c r="L863" s="9"/>
      <c r="M863" s="11"/>
      <c r="N863" s="11"/>
      <c r="O863" s="11"/>
      <c r="P863" s="11"/>
    </row>
    <row r="864" spans="4:16" ht="12.75" customHeight="1" x14ac:dyDescent="0.35">
      <c r="D864" s="8"/>
      <c r="E864" s="9"/>
      <c r="F864" s="9"/>
      <c r="G864" s="12"/>
      <c r="H864" s="9"/>
      <c r="I864" s="9"/>
      <c r="J864" s="9"/>
      <c r="K864" s="9"/>
      <c r="L864" s="9"/>
      <c r="M864" s="11"/>
      <c r="N864" s="11"/>
      <c r="O864" s="11"/>
      <c r="P864" s="11"/>
    </row>
    <row r="865" spans="4:16" ht="12.75" customHeight="1" x14ac:dyDescent="0.35">
      <c r="D865" s="8"/>
      <c r="E865" s="9"/>
      <c r="F865" s="9"/>
      <c r="G865" s="12"/>
      <c r="H865" s="9"/>
      <c r="I865" s="9"/>
      <c r="J865" s="9"/>
      <c r="K865" s="9"/>
      <c r="L865" s="9"/>
      <c r="M865" s="11"/>
      <c r="N865" s="11"/>
      <c r="O865" s="11"/>
      <c r="P865" s="11"/>
    </row>
    <row r="866" spans="4:16" ht="12.75" customHeight="1" x14ac:dyDescent="0.35">
      <c r="D866" s="8"/>
      <c r="E866" s="9"/>
      <c r="F866" s="9"/>
      <c r="G866" s="12"/>
      <c r="H866" s="9"/>
      <c r="I866" s="9"/>
      <c r="J866" s="9"/>
      <c r="K866" s="9"/>
      <c r="L866" s="9"/>
      <c r="M866" s="11"/>
      <c r="N866" s="11"/>
      <c r="O866" s="11"/>
      <c r="P866" s="11"/>
    </row>
    <row r="867" spans="4:16" ht="12.75" customHeight="1" x14ac:dyDescent="0.35">
      <c r="D867" s="8"/>
      <c r="E867" s="9"/>
      <c r="F867" s="9"/>
      <c r="G867" s="12"/>
      <c r="H867" s="9"/>
      <c r="I867" s="9"/>
      <c r="J867" s="9"/>
      <c r="K867" s="9"/>
      <c r="L867" s="9"/>
      <c r="M867" s="11"/>
      <c r="N867" s="11"/>
      <c r="O867" s="11"/>
      <c r="P867" s="11"/>
    </row>
    <row r="868" spans="4:16" ht="12.75" customHeight="1" x14ac:dyDescent="0.35">
      <c r="D868" s="8"/>
      <c r="E868" s="9"/>
      <c r="F868" s="9"/>
      <c r="G868" s="12"/>
      <c r="H868" s="9"/>
      <c r="I868" s="9"/>
      <c r="J868" s="9"/>
      <c r="K868" s="9"/>
      <c r="L868" s="9"/>
      <c r="M868" s="11"/>
      <c r="N868" s="11"/>
      <c r="O868" s="11"/>
      <c r="P868" s="11"/>
    </row>
    <row r="869" spans="4:16" ht="12.75" customHeight="1" x14ac:dyDescent="0.35">
      <c r="D869" s="8"/>
      <c r="E869" s="9"/>
      <c r="F869" s="9"/>
      <c r="G869" s="12"/>
      <c r="H869" s="9"/>
      <c r="I869" s="9"/>
      <c r="J869" s="9"/>
      <c r="K869" s="9"/>
      <c r="L869" s="9"/>
      <c r="M869" s="11"/>
      <c r="N869" s="11"/>
      <c r="O869" s="11"/>
      <c r="P869" s="11"/>
    </row>
    <row r="870" spans="4:16" ht="12.75" customHeight="1" x14ac:dyDescent="0.35">
      <c r="D870" s="8"/>
      <c r="E870" s="9"/>
      <c r="F870" s="9"/>
      <c r="G870" s="12"/>
      <c r="H870" s="9"/>
      <c r="I870" s="9"/>
      <c r="J870" s="9"/>
      <c r="K870" s="9"/>
      <c r="L870" s="9"/>
      <c r="M870" s="11"/>
      <c r="N870" s="11"/>
      <c r="O870" s="11"/>
      <c r="P870" s="11"/>
    </row>
    <row r="871" spans="4:16" ht="12.75" customHeight="1" x14ac:dyDescent="0.35">
      <c r="D871" s="8"/>
      <c r="E871" s="9"/>
      <c r="F871" s="9"/>
      <c r="G871" s="12"/>
      <c r="H871" s="9"/>
      <c r="I871" s="9"/>
      <c r="J871" s="9"/>
      <c r="K871" s="9"/>
      <c r="L871" s="9"/>
      <c r="M871" s="11"/>
      <c r="N871" s="11"/>
      <c r="O871" s="11"/>
      <c r="P871" s="11"/>
    </row>
    <row r="872" spans="4:16" ht="12.75" customHeight="1" x14ac:dyDescent="0.35">
      <c r="D872" s="8"/>
      <c r="E872" s="9"/>
      <c r="F872" s="9"/>
      <c r="G872" s="12"/>
      <c r="H872" s="9"/>
      <c r="I872" s="9"/>
      <c r="J872" s="9"/>
      <c r="K872" s="9"/>
      <c r="L872" s="9"/>
      <c r="M872" s="11"/>
      <c r="N872" s="11"/>
      <c r="O872" s="11"/>
      <c r="P872" s="11"/>
    </row>
    <row r="873" spans="4:16" ht="12.75" customHeight="1" x14ac:dyDescent="0.35">
      <c r="D873" s="8"/>
      <c r="E873" s="9"/>
      <c r="F873" s="9"/>
      <c r="G873" s="12"/>
      <c r="H873" s="9"/>
      <c r="I873" s="9"/>
      <c r="J873" s="9"/>
      <c r="K873" s="9"/>
      <c r="L873" s="9"/>
      <c r="M873" s="11"/>
      <c r="N873" s="11"/>
      <c r="O873" s="11"/>
      <c r="P873" s="11"/>
    </row>
    <row r="874" spans="4:16" ht="12.75" customHeight="1" x14ac:dyDescent="0.35">
      <c r="D874" s="8"/>
      <c r="E874" s="9"/>
      <c r="F874" s="9"/>
      <c r="G874" s="12"/>
      <c r="H874" s="9"/>
      <c r="I874" s="9"/>
      <c r="J874" s="9"/>
      <c r="K874" s="9"/>
      <c r="L874" s="9"/>
      <c r="M874" s="11"/>
      <c r="N874" s="11"/>
      <c r="O874" s="11"/>
      <c r="P874" s="11"/>
    </row>
    <row r="875" spans="4:16" ht="12.75" customHeight="1" x14ac:dyDescent="0.35">
      <c r="D875" s="8"/>
      <c r="E875" s="9"/>
      <c r="F875" s="9"/>
      <c r="G875" s="12"/>
      <c r="H875" s="9"/>
      <c r="I875" s="9"/>
      <c r="J875" s="9"/>
      <c r="K875" s="9"/>
      <c r="L875" s="9"/>
      <c r="M875" s="11"/>
      <c r="N875" s="11"/>
      <c r="O875" s="11"/>
      <c r="P875" s="11"/>
    </row>
    <row r="876" spans="4:16" ht="12.75" customHeight="1" x14ac:dyDescent="0.35">
      <c r="D876" s="8"/>
      <c r="E876" s="9"/>
      <c r="F876" s="9"/>
      <c r="G876" s="12"/>
      <c r="H876" s="9"/>
      <c r="I876" s="9"/>
      <c r="J876" s="9"/>
      <c r="K876" s="9"/>
      <c r="L876" s="9"/>
      <c r="M876" s="11"/>
      <c r="N876" s="11"/>
      <c r="O876" s="11"/>
      <c r="P876" s="11"/>
    </row>
    <row r="877" spans="4:16" ht="12.75" customHeight="1" x14ac:dyDescent="0.35">
      <c r="D877" s="8"/>
      <c r="E877" s="9"/>
      <c r="F877" s="9"/>
      <c r="G877" s="12"/>
      <c r="H877" s="9"/>
      <c r="I877" s="9"/>
      <c r="J877" s="9"/>
      <c r="K877" s="9"/>
      <c r="L877" s="9"/>
      <c r="M877" s="11"/>
      <c r="N877" s="11"/>
      <c r="O877" s="11"/>
      <c r="P877" s="11"/>
    </row>
    <row r="878" spans="4:16" ht="12.75" customHeight="1" x14ac:dyDescent="0.35">
      <c r="D878" s="8"/>
      <c r="E878" s="9"/>
      <c r="F878" s="9"/>
      <c r="G878" s="12"/>
      <c r="H878" s="9"/>
      <c r="I878" s="9"/>
      <c r="J878" s="9"/>
      <c r="K878" s="9"/>
      <c r="L878" s="9"/>
      <c r="M878" s="11"/>
      <c r="N878" s="11"/>
      <c r="O878" s="11"/>
      <c r="P878" s="11"/>
    </row>
    <row r="879" spans="4:16" ht="12.75" customHeight="1" x14ac:dyDescent="0.35">
      <c r="D879" s="8"/>
      <c r="E879" s="9"/>
      <c r="F879" s="9"/>
      <c r="G879" s="12"/>
      <c r="H879" s="9"/>
      <c r="I879" s="9"/>
      <c r="J879" s="9"/>
      <c r="K879" s="9"/>
      <c r="L879" s="9"/>
      <c r="M879" s="11"/>
      <c r="N879" s="11"/>
      <c r="O879" s="11"/>
      <c r="P879" s="11"/>
    </row>
    <row r="880" spans="4:16" ht="12.75" customHeight="1" x14ac:dyDescent="0.35">
      <c r="D880" s="8"/>
      <c r="E880" s="9"/>
      <c r="F880" s="9"/>
      <c r="G880" s="12"/>
      <c r="H880" s="9"/>
      <c r="I880" s="9"/>
      <c r="J880" s="9"/>
      <c r="K880" s="9"/>
      <c r="L880" s="9"/>
      <c r="M880" s="11"/>
      <c r="N880" s="11"/>
      <c r="O880" s="11"/>
      <c r="P880" s="11"/>
    </row>
    <row r="881" spans="4:16" ht="12.75" customHeight="1" x14ac:dyDescent="0.35">
      <c r="D881" s="8"/>
      <c r="E881" s="9"/>
      <c r="F881" s="9"/>
      <c r="G881" s="12"/>
      <c r="H881" s="9"/>
      <c r="I881" s="9"/>
      <c r="J881" s="9"/>
      <c r="K881" s="9"/>
      <c r="L881" s="9"/>
      <c r="M881" s="11"/>
      <c r="N881" s="11"/>
      <c r="O881" s="11"/>
      <c r="P881" s="11"/>
    </row>
    <row r="882" spans="4:16" ht="12.75" customHeight="1" x14ac:dyDescent="0.35">
      <c r="D882" s="8"/>
      <c r="E882" s="9"/>
      <c r="F882" s="9"/>
      <c r="G882" s="12"/>
      <c r="H882" s="9"/>
      <c r="I882" s="9"/>
      <c r="J882" s="9"/>
      <c r="K882" s="9"/>
      <c r="L882" s="9"/>
      <c r="M882" s="11"/>
      <c r="N882" s="11"/>
      <c r="O882" s="11"/>
      <c r="P882" s="11"/>
    </row>
    <row r="883" spans="4:16" ht="12.75" customHeight="1" x14ac:dyDescent="0.35">
      <c r="D883" s="8"/>
      <c r="E883" s="9"/>
      <c r="F883" s="9"/>
      <c r="G883" s="12"/>
      <c r="H883" s="9"/>
      <c r="I883" s="9"/>
      <c r="J883" s="9"/>
      <c r="K883" s="9"/>
      <c r="L883" s="9"/>
      <c r="M883" s="11"/>
      <c r="N883" s="11"/>
      <c r="O883" s="11"/>
      <c r="P883" s="11"/>
    </row>
    <row r="884" spans="4:16" ht="12.75" customHeight="1" x14ac:dyDescent="0.35">
      <c r="D884" s="8"/>
      <c r="E884" s="9"/>
      <c r="F884" s="9"/>
      <c r="G884" s="12"/>
      <c r="H884" s="9"/>
      <c r="I884" s="9"/>
      <c r="J884" s="9"/>
      <c r="K884" s="9"/>
      <c r="L884" s="9"/>
      <c r="M884" s="11"/>
      <c r="N884" s="11"/>
      <c r="O884" s="11"/>
      <c r="P884" s="11"/>
    </row>
    <row r="885" spans="4:16" ht="12.75" customHeight="1" x14ac:dyDescent="0.35">
      <c r="D885" s="8"/>
      <c r="E885" s="9"/>
      <c r="F885" s="9"/>
      <c r="G885" s="12"/>
      <c r="H885" s="9"/>
      <c r="I885" s="9"/>
      <c r="J885" s="9"/>
      <c r="K885" s="9"/>
      <c r="L885" s="9"/>
      <c r="M885" s="11"/>
      <c r="N885" s="11"/>
      <c r="O885" s="11"/>
      <c r="P885" s="11"/>
    </row>
    <row r="886" spans="4:16" ht="12.75" customHeight="1" x14ac:dyDescent="0.35">
      <c r="D886" s="8"/>
      <c r="E886" s="9"/>
      <c r="F886" s="9"/>
      <c r="G886" s="12"/>
      <c r="H886" s="9"/>
      <c r="I886" s="9"/>
      <c r="J886" s="9"/>
      <c r="K886" s="9"/>
      <c r="L886" s="9"/>
      <c r="M886" s="11"/>
      <c r="N886" s="11"/>
      <c r="O886" s="11"/>
      <c r="P886" s="11"/>
    </row>
    <row r="887" spans="4:16" ht="12.75" customHeight="1" x14ac:dyDescent="0.35">
      <c r="D887" s="8"/>
      <c r="E887" s="9"/>
      <c r="F887" s="9"/>
      <c r="G887" s="12"/>
      <c r="H887" s="9"/>
      <c r="I887" s="9"/>
      <c r="J887" s="9"/>
      <c r="K887" s="9"/>
      <c r="L887" s="9"/>
      <c r="M887" s="11"/>
      <c r="N887" s="11"/>
      <c r="O887" s="11"/>
      <c r="P887" s="11"/>
    </row>
    <row r="888" spans="4:16" ht="12.75" customHeight="1" x14ac:dyDescent="0.35">
      <c r="D888" s="8"/>
      <c r="E888" s="9"/>
      <c r="F888" s="9"/>
      <c r="G888" s="12"/>
      <c r="H888" s="9"/>
      <c r="I888" s="9"/>
      <c r="J888" s="9"/>
      <c r="K888" s="9"/>
      <c r="L888" s="9"/>
      <c r="M888" s="11"/>
      <c r="N888" s="11"/>
      <c r="O888" s="11"/>
      <c r="P888" s="11"/>
    </row>
    <row r="889" spans="4:16" ht="12.75" customHeight="1" x14ac:dyDescent="0.35">
      <c r="D889" s="8"/>
      <c r="E889" s="9"/>
      <c r="F889" s="9"/>
      <c r="G889" s="12"/>
      <c r="H889" s="9"/>
      <c r="I889" s="9"/>
      <c r="J889" s="9"/>
      <c r="K889" s="9"/>
      <c r="L889" s="9"/>
      <c r="M889" s="11"/>
      <c r="N889" s="11"/>
      <c r="O889" s="11"/>
      <c r="P889" s="11"/>
    </row>
    <row r="890" spans="4:16" ht="12.75" customHeight="1" x14ac:dyDescent="0.35">
      <c r="D890" s="8"/>
      <c r="E890" s="9"/>
      <c r="F890" s="9"/>
      <c r="G890" s="12"/>
      <c r="H890" s="9"/>
      <c r="I890" s="9"/>
      <c r="J890" s="9"/>
      <c r="K890" s="9"/>
      <c r="L890" s="9"/>
      <c r="M890" s="11"/>
      <c r="N890" s="11"/>
      <c r="O890" s="11"/>
      <c r="P890" s="11"/>
    </row>
    <row r="891" spans="4:16" ht="12.75" customHeight="1" x14ac:dyDescent="0.35">
      <c r="D891" s="8"/>
      <c r="E891" s="9"/>
      <c r="F891" s="9"/>
      <c r="G891" s="12"/>
      <c r="H891" s="9"/>
      <c r="I891" s="9"/>
      <c r="J891" s="9"/>
      <c r="K891" s="9"/>
      <c r="L891" s="9"/>
      <c r="M891" s="11"/>
      <c r="N891" s="11"/>
      <c r="O891" s="11"/>
      <c r="P891" s="11"/>
    </row>
    <row r="892" spans="4:16" ht="12.75" customHeight="1" x14ac:dyDescent="0.35">
      <c r="D892" s="8"/>
      <c r="E892" s="9"/>
      <c r="F892" s="9"/>
      <c r="G892" s="12"/>
      <c r="H892" s="9"/>
      <c r="I892" s="9"/>
      <c r="J892" s="9"/>
      <c r="K892" s="9"/>
      <c r="L892" s="9"/>
      <c r="M892" s="11"/>
      <c r="N892" s="11"/>
      <c r="O892" s="11"/>
      <c r="P892" s="11"/>
    </row>
    <row r="893" spans="4:16" ht="12.75" customHeight="1" x14ac:dyDescent="0.35">
      <c r="D893" s="8"/>
      <c r="E893" s="9"/>
      <c r="F893" s="9"/>
      <c r="G893" s="12"/>
      <c r="H893" s="9"/>
      <c r="I893" s="9"/>
      <c r="J893" s="9"/>
      <c r="K893" s="9"/>
      <c r="L893" s="9"/>
      <c r="M893" s="11"/>
      <c r="N893" s="11"/>
      <c r="O893" s="11"/>
      <c r="P893" s="11"/>
    </row>
    <row r="894" spans="4:16" ht="12.75" customHeight="1" x14ac:dyDescent="0.35">
      <c r="D894" s="8"/>
      <c r="E894" s="9"/>
      <c r="F894" s="9"/>
      <c r="G894" s="12"/>
      <c r="H894" s="9"/>
      <c r="I894" s="9"/>
      <c r="J894" s="9"/>
      <c r="K894" s="9"/>
      <c r="L894" s="9"/>
      <c r="M894" s="11"/>
      <c r="N894" s="11"/>
      <c r="O894" s="11"/>
      <c r="P894" s="11"/>
    </row>
    <row r="895" spans="4:16" ht="12.75" customHeight="1" x14ac:dyDescent="0.35">
      <c r="D895" s="8"/>
      <c r="E895" s="9"/>
      <c r="F895" s="9"/>
      <c r="G895" s="12"/>
      <c r="H895" s="9"/>
      <c r="I895" s="9"/>
      <c r="J895" s="9"/>
      <c r="K895" s="9"/>
      <c r="L895" s="9"/>
      <c r="M895" s="11"/>
      <c r="N895" s="11"/>
      <c r="O895" s="11"/>
      <c r="P895" s="11"/>
    </row>
    <row r="896" spans="4:16" ht="12.75" customHeight="1" x14ac:dyDescent="0.35">
      <c r="D896" s="8"/>
      <c r="E896" s="9"/>
      <c r="F896" s="9"/>
      <c r="G896" s="12"/>
      <c r="H896" s="9"/>
      <c r="I896" s="9"/>
      <c r="J896" s="9"/>
      <c r="K896" s="9"/>
      <c r="L896" s="9"/>
      <c r="M896" s="11"/>
      <c r="N896" s="11"/>
      <c r="O896" s="11"/>
      <c r="P896" s="11"/>
    </row>
    <row r="897" spans="4:16" ht="12.75" customHeight="1" x14ac:dyDescent="0.35">
      <c r="D897" s="8"/>
      <c r="E897" s="9"/>
      <c r="F897" s="9"/>
      <c r="G897" s="12"/>
      <c r="H897" s="9"/>
      <c r="I897" s="9"/>
      <c r="J897" s="9"/>
      <c r="K897" s="9"/>
      <c r="L897" s="9"/>
      <c r="M897" s="11"/>
      <c r="N897" s="11"/>
      <c r="O897" s="11"/>
      <c r="P897" s="11"/>
    </row>
    <row r="898" spans="4:16" ht="12.75" customHeight="1" x14ac:dyDescent="0.35">
      <c r="D898" s="8"/>
      <c r="E898" s="9"/>
      <c r="F898" s="9"/>
      <c r="G898" s="12"/>
      <c r="H898" s="9"/>
      <c r="I898" s="9"/>
      <c r="J898" s="9"/>
      <c r="K898" s="9"/>
      <c r="L898" s="9"/>
      <c r="M898" s="11"/>
      <c r="N898" s="11"/>
      <c r="O898" s="11"/>
      <c r="P898" s="11"/>
    </row>
    <row r="899" spans="4:16" ht="12.75" customHeight="1" x14ac:dyDescent="0.35">
      <c r="D899" s="8"/>
      <c r="E899" s="9"/>
      <c r="F899" s="9"/>
      <c r="G899" s="12"/>
      <c r="H899" s="9"/>
      <c r="I899" s="9"/>
      <c r="J899" s="9"/>
      <c r="K899" s="9"/>
      <c r="L899" s="9"/>
      <c r="M899" s="11"/>
      <c r="N899" s="11"/>
      <c r="O899" s="11"/>
      <c r="P899" s="11"/>
    </row>
    <row r="900" spans="4:16" ht="12.75" customHeight="1" x14ac:dyDescent="0.35">
      <c r="D900" s="8"/>
      <c r="E900" s="9"/>
      <c r="F900" s="9"/>
      <c r="G900" s="12"/>
      <c r="H900" s="9"/>
      <c r="I900" s="9"/>
      <c r="J900" s="9"/>
      <c r="K900" s="9"/>
      <c r="L900" s="9"/>
      <c r="M900" s="11"/>
      <c r="N900" s="11"/>
      <c r="O900" s="11"/>
      <c r="P900" s="11"/>
    </row>
    <row r="901" spans="4:16" ht="12.75" customHeight="1" x14ac:dyDescent="0.35">
      <c r="D901" s="8"/>
      <c r="E901" s="9"/>
      <c r="F901" s="9"/>
      <c r="G901" s="12"/>
      <c r="H901" s="9"/>
      <c r="I901" s="9"/>
      <c r="J901" s="9"/>
      <c r="K901" s="9"/>
      <c r="L901" s="9"/>
      <c r="M901" s="11"/>
      <c r="N901" s="11"/>
      <c r="O901" s="11"/>
      <c r="P901" s="11"/>
    </row>
    <row r="902" spans="4:16" ht="12.75" customHeight="1" x14ac:dyDescent="0.35">
      <c r="D902" s="8"/>
      <c r="E902" s="9"/>
      <c r="F902" s="9"/>
      <c r="G902" s="12"/>
      <c r="H902" s="9"/>
      <c r="I902" s="9"/>
      <c r="J902" s="9"/>
      <c r="K902" s="9"/>
      <c r="L902" s="9"/>
      <c r="M902" s="11"/>
      <c r="N902" s="11"/>
      <c r="O902" s="11"/>
      <c r="P902" s="11"/>
    </row>
    <row r="903" spans="4:16" ht="12.75" customHeight="1" x14ac:dyDescent="0.35">
      <c r="D903" s="8"/>
      <c r="E903" s="9"/>
      <c r="F903" s="9"/>
      <c r="G903" s="12"/>
      <c r="H903" s="9"/>
      <c r="I903" s="9"/>
      <c r="J903" s="9"/>
      <c r="K903" s="9"/>
      <c r="L903" s="9"/>
      <c r="M903" s="11"/>
      <c r="N903" s="11"/>
      <c r="O903" s="11"/>
      <c r="P903" s="11"/>
    </row>
    <row r="904" spans="4:16" ht="12.75" customHeight="1" x14ac:dyDescent="0.35">
      <c r="D904" s="8"/>
      <c r="E904" s="9"/>
      <c r="F904" s="9"/>
      <c r="G904" s="12"/>
      <c r="H904" s="9"/>
      <c r="I904" s="9"/>
      <c r="J904" s="9"/>
      <c r="K904" s="9"/>
      <c r="L904" s="9"/>
      <c r="M904" s="11"/>
      <c r="N904" s="11"/>
      <c r="O904" s="11"/>
      <c r="P904" s="11"/>
    </row>
    <row r="905" spans="4:16" ht="12.75" customHeight="1" x14ac:dyDescent="0.35">
      <c r="D905" s="8"/>
      <c r="E905" s="9"/>
      <c r="F905" s="9"/>
      <c r="G905" s="12"/>
      <c r="H905" s="9"/>
      <c r="I905" s="9"/>
      <c r="J905" s="9"/>
      <c r="K905" s="9"/>
      <c r="L905" s="9"/>
      <c r="M905" s="11"/>
      <c r="N905" s="11"/>
      <c r="O905" s="11"/>
      <c r="P905" s="11"/>
    </row>
    <row r="906" spans="4:16" ht="12.75" customHeight="1" x14ac:dyDescent="0.35">
      <c r="D906" s="8"/>
      <c r="E906" s="9"/>
      <c r="F906" s="9"/>
      <c r="G906" s="12"/>
      <c r="H906" s="9"/>
      <c r="I906" s="9"/>
      <c r="J906" s="9"/>
      <c r="K906" s="9"/>
      <c r="L906" s="9"/>
      <c r="M906" s="11"/>
      <c r="N906" s="11"/>
      <c r="O906" s="11"/>
      <c r="P906" s="11"/>
    </row>
    <row r="907" spans="4:16" ht="12.75" customHeight="1" x14ac:dyDescent="0.35">
      <c r="D907" s="8"/>
      <c r="E907" s="9"/>
      <c r="F907" s="9"/>
      <c r="G907" s="12"/>
      <c r="H907" s="9"/>
      <c r="I907" s="9"/>
      <c r="J907" s="9"/>
      <c r="K907" s="9"/>
      <c r="L907" s="9"/>
      <c r="M907" s="11"/>
      <c r="N907" s="11"/>
      <c r="O907" s="11"/>
      <c r="P907" s="11"/>
    </row>
    <row r="908" spans="4:16" ht="12.75" customHeight="1" x14ac:dyDescent="0.35">
      <c r="D908" s="8"/>
      <c r="E908" s="9"/>
      <c r="F908" s="9"/>
      <c r="G908" s="12"/>
      <c r="H908" s="9"/>
      <c r="I908" s="9"/>
      <c r="J908" s="9"/>
      <c r="K908" s="9"/>
      <c r="L908" s="9"/>
      <c r="M908" s="11"/>
      <c r="N908" s="11"/>
      <c r="O908" s="11"/>
      <c r="P908" s="11"/>
    </row>
    <row r="909" spans="4:16" ht="12.75" customHeight="1" x14ac:dyDescent="0.35">
      <c r="D909" s="8"/>
      <c r="E909" s="9"/>
      <c r="F909" s="9"/>
      <c r="G909" s="12"/>
      <c r="H909" s="9"/>
      <c r="I909" s="9"/>
      <c r="J909" s="9"/>
      <c r="K909" s="9"/>
      <c r="L909" s="9"/>
      <c r="M909" s="11"/>
      <c r="N909" s="11"/>
      <c r="O909" s="11"/>
      <c r="P909" s="11"/>
    </row>
    <row r="910" spans="4:16" ht="12.75" customHeight="1" x14ac:dyDescent="0.35">
      <c r="D910" s="8"/>
      <c r="E910" s="9"/>
      <c r="F910" s="9"/>
      <c r="G910" s="12"/>
      <c r="H910" s="9"/>
      <c r="I910" s="9"/>
      <c r="J910" s="9"/>
      <c r="K910" s="9"/>
      <c r="L910" s="9"/>
      <c r="M910" s="11"/>
      <c r="N910" s="11"/>
      <c r="O910" s="11"/>
      <c r="P910" s="11"/>
    </row>
    <row r="911" spans="4:16" ht="12.75" customHeight="1" x14ac:dyDescent="0.35">
      <c r="D911" s="8"/>
      <c r="E911" s="9"/>
      <c r="F911" s="9"/>
      <c r="G911" s="12"/>
      <c r="H911" s="9"/>
      <c r="I911" s="9"/>
      <c r="J911" s="9"/>
      <c r="K911" s="9"/>
      <c r="L911" s="9"/>
      <c r="M911" s="11"/>
      <c r="N911" s="11"/>
      <c r="O911" s="11"/>
      <c r="P911" s="11"/>
    </row>
    <row r="912" spans="4:16" ht="12.75" customHeight="1" x14ac:dyDescent="0.35">
      <c r="D912" s="8"/>
      <c r="E912" s="9"/>
      <c r="F912" s="9"/>
      <c r="G912" s="12"/>
      <c r="H912" s="9"/>
      <c r="I912" s="9"/>
      <c r="J912" s="9"/>
      <c r="K912" s="9"/>
      <c r="L912" s="9"/>
      <c r="M912" s="11"/>
      <c r="N912" s="11"/>
      <c r="O912" s="11"/>
      <c r="P912" s="11"/>
    </row>
    <row r="913" spans="4:16" ht="12.75" customHeight="1" x14ac:dyDescent="0.35">
      <c r="D913" s="8"/>
      <c r="E913" s="9"/>
      <c r="F913" s="9"/>
      <c r="G913" s="12"/>
      <c r="H913" s="9"/>
      <c r="I913" s="9"/>
      <c r="J913" s="9"/>
      <c r="K913" s="9"/>
      <c r="L913" s="9"/>
      <c r="M913" s="11"/>
      <c r="N913" s="11"/>
      <c r="O913" s="11"/>
      <c r="P913" s="11"/>
    </row>
    <row r="914" spans="4:16" ht="12.75" customHeight="1" x14ac:dyDescent="0.35">
      <c r="D914" s="8"/>
      <c r="E914" s="9"/>
      <c r="F914" s="9"/>
      <c r="G914" s="12"/>
      <c r="H914" s="9"/>
      <c r="I914" s="9"/>
      <c r="J914" s="9"/>
      <c r="K914" s="9"/>
      <c r="L914" s="9"/>
      <c r="M914" s="11"/>
      <c r="N914" s="11"/>
      <c r="O914" s="11"/>
      <c r="P914" s="11"/>
    </row>
    <row r="915" spans="4:16" ht="12.75" customHeight="1" x14ac:dyDescent="0.35">
      <c r="D915" s="8"/>
      <c r="E915" s="9"/>
      <c r="F915" s="9"/>
      <c r="G915" s="12"/>
      <c r="H915" s="9"/>
      <c r="I915" s="9"/>
      <c r="J915" s="9"/>
      <c r="K915" s="9"/>
      <c r="L915" s="9"/>
      <c r="M915" s="11"/>
      <c r="N915" s="11"/>
      <c r="O915" s="11"/>
      <c r="P915" s="11"/>
    </row>
    <row r="916" spans="4:16" ht="12.75" customHeight="1" x14ac:dyDescent="0.35">
      <c r="D916" s="8"/>
      <c r="E916" s="9"/>
      <c r="F916" s="9"/>
      <c r="G916" s="12"/>
      <c r="H916" s="9"/>
      <c r="I916" s="9"/>
      <c r="J916" s="9"/>
      <c r="K916" s="9"/>
      <c r="L916" s="9"/>
      <c r="M916" s="11"/>
      <c r="N916" s="11"/>
      <c r="O916" s="11"/>
      <c r="P916" s="11"/>
    </row>
    <row r="917" spans="4:16" ht="12.75" customHeight="1" x14ac:dyDescent="0.35">
      <c r="D917" s="8"/>
      <c r="E917" s="9"/>
      <c r="F917" s="9"/>
      <c r="G917" s="12"/>
      <c r="H917" s="9"/>
      <c r="I917" s="9"/>
      <c r="J917" s="9"/>
      <c r="K917" s="9"/>
      <c r="L917" s="9"/>
      <c r="M917" s="11"/>
      <c r="N917" s="11"/>
      <c r="O917" s="11"/>
      <c r="P91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Windy</dc:creator>
  <cp:lastModifiedBy>Juli Yandi Rahman</cp:lastModifiedBy>
  <dcterms:created xsi:type="dcterms:W3CDTF">2024-08-08T01:26:40Z</dcterms:created>
  <dcterms:modified xsi:type="dcterms:W3CDTF">2024-08-13T00:37:37Z</dcterms:modified>
</cp:coreProperties>
</file>