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1120824 (Transforming Path Analysis Data)\"/>
    </mc:Choice>
  </mc:AlternateContent>
  <xr:revisionPtr revIDLastSave="0" documentId="13_ncr:1_{17F0E9FE-3119-4B78-AD2C-AB0C4A059937}" xr6:coauthVersionLast="47" xr6:coauthVersionMax="47" xr10:uidLastSave="{00000000-0000-0000-0000-000000000000}"/>
  <bookViews>
    <workbookView xWindow="-110" yWindow="-110" windowWidth="19420" windowHeight="10300" activeTab="1" xr2:uid="{06A6D30D-25ED-4D49-95E1-13119519EBFE}"/>
  </bookViews>
  <sheets>
    <sheet name="With Control Variables" sheetId="1" r:id="rId1"/>
    <sheet name="Without Control Vari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B8" i="2"/>
  <c r="H3" i="2" l="1"/>
  <c r="H4" i="2"/>
  <c r="H2" i="2"/>
  <c r="B7" i="2"/>
  <c r="B13" i="1"/>
  <c r="H3" i="1"/>
  <c r="H4" i="1"/>
  <c r="H5" i="1"/>
  <c r="H6" i="1"/>
  <c r="H7" i="1"/>
  <c r="H8" i="1"/>
  <c r="H9" i="1"/>
  <c r="H2" i="1"/>
  <c r="G4" i="2"/>
  <c r="G3" i="2"/>
  <c r="G2" i="2"/>
  <c r="G9" i="1"/>
  <c r="G8" i="1"/>
  <c r="G7" i="1"/>
  <c r="G6" i="1"/>
  <c r="G5" i="1"/>
  <c r="G4" i="1"/>
  <c r="G3" i="1"/>
  <c r="G2" i="1"/>
  <c r="D7" i="2" l="1"/>
  <c r="D12" i="1"/>
</calcChain>
</file>

<file path=xl/sharedStrings.xml><?xml version="1.0" encoding="utf-8"?>
<sst xmlns="http://schemas.openxmlformats.org/spreadsheetml/2006/main" count="34" uniqueCount="20">
  <si>
    <t/>
  </si>
  <si>
    <t>Original Sample (O)</t>
  </si>
  <si>
    <t>Sample Mean (M)</t>
  </si>
  <si>
    <t>Standard Deviation (STDEV)</t>
  </si>
  <si>
    <t>T Statistics (|O/STDEV|)</t>
  </si>
  <si>
    <t>P Values</t>
  </si>
  <si>
    <t>Significance</t>
  </si>
  <si>
    <t>Standar Error</t>
  </si>
  <si>
    <t>t hitung</t>
  </si>
  <si>
    <t>Kesimpulan</t>
  </si>
  <si>
    <t>t tabel</t>
  </si>
  <si>
    <t>Affiliation -&gt; Financial Performance</t>
  </si>
  <si>
    <t>Age -&gt; Financial Performance</t>
  </si>
  <si>
    <t>DER -&gt; Financial Performance</t>
  </si>
  <si>
    <t>Intelectual Capital -&gt; Financial Performance</t>
  </si>
  <si>
    <t>Intelectual Capital -&gt; Sustainable Competitive Advantage</t>
  </si>
  <si>
    <t>PIAC -&gt; Financial Performance</t>
  </si>
  <si>
    <t>Size -&gt; Financial Performance</t>
  </si>
  <si>
    <t>Sustainable Competitive Advantage -&gt; Financial Performance</t>
  </si>
  <si>
    <t>IC -&gt; SAC -&gt; 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</si>
</sst>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16"/>
      <name val="Arial"/>
      <family val="2"/>
    </font>
    <font>
      <b/>
      <sz val="10"/>
      <color indexed="1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0" fillId="0" borderId="1" xfId="0" applyBorder="1"/>
    <xf numFmtId="164" fontId="2" fillId="3" borderId="1" xfId="0" applyNumberFormat="1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AC56-CC49-45A3-80DE-807387A4F7D8}">
  <dimension ref="A1:H13"/>
  <sheetViews>
    <sheetView workbookViewId="0">
      <selection activeCell="B12" sqref="B12"/>
    </sheetView>
  </sheetViews>
  <sheetFormatPr defaultRowHeight="14.5" x14ac:dyDescent="0.35"/>
  <cols>
    <col min="1" max="1" width="14.54296875" bestFit="1" customWidth="1"/>
    <col min="2" max="2" width="17.81640625" bestFit="1" customWidth="1"/>
    <col min="3" max="3" width="15.7265625" bestFit="1" customWidth="1"/>
    <col min="4" max="4" width="25.36328125" bestFit="1" customWidth="1"/>
    <col min="5" max="5" width="21.7265625" bestFit="1" customWidth="1"/>
    <col min="6" max="6" width="8.26953125" bestFit="1" customWidth="1"/>
    <col min="7" max="7" width="13.54296875" bestFit="1" customWidth="1"/>
    <col min="8" max="8" width="12.54296875" bestFit="1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2" t="s">
        <v>11</v>
      </c>
      <c r="B2" s="3">
        <v>8.7471396557790668E-2</v>
      </c>
      <c r="C2" s="3">
        <v>8.8954684273002974E-2</v>
      </c>
      <c r="D2" s="3">
        <v>3.6892795675075175E-2</v>
      </c>
      <c r="E2" s="3">
        <v>2.3709614562196615</v>
      </c>
      <c r="F2" s="9">
        <v>1.8120002366401877E-2</v>
      </c>
      <c r="G2" s="4" t="str">
        <f>IF(F2&lt;0.01,"***",IF(F2&lt;0.05,"**",IF(F2&lt;0.1,"*","Not Significant")))</f>
        <v>**</v>
      </c>
      <c r="H2" s="5">
        <f>D2/SQRT(594)</f>
        <v>1.5137297420136271E-3</v>
      </c>
    </row>
    <row r="3" spans="1:8" x14ac:dyDescent="0.35">
      <c r="A3" s="2" t="s">
        <v>12</v>
      </c>
      <c r="B3" s="6">
        <v>-5.534019509715439E-2</v>
      </c>
      <c r="C3" s="6">
        <v>-6.2029195425207531E-2</v>
      </c>
      <c r="D3" s="6">
        <v>2.3608308339966515E-2</v>
      </c>
      <c r="E3" s="6">
        <v>2.3440982852409187</v>
      </c>
      <c r="F3" s="8">
        <v>1.9463707741749658E-2</v>
      </c>
      <c r="G3" s="4" t="str">
        <f t="shared" ref="G3:G9" si="0">IF(F3&lt;0.01,"***",IF(F3&lt;0.05,"**",IF(F3&lt;0.1,"*","Not Significant")))</f>
        <v>**</v>
      </c>
      <c r="H3" s="5">
        <f t="shared" ref="H3:H9" si="1">D3/SQRT(594)</f>
        <v>9.6866062435543127E-4</v>
      </c>
    </row>
    <row r="4" spans="1:8" x14ac:dyDescent="0.35">
      <c r="A4" s="2" t="s">
        <v>13</v>
      </c>
      <c r="B4" s="3">
        <v>5.499666955803769E-2</v>
      </c>
      <c r="C4" s="3">
        <v>6.6336511400603329E-2</v>
      </c>
      <c r="D4" s="3">
        <v>5.2147909433840886E-2</v>
      </c>
      <c r="E4" s="3">
        <v>1.0546284626771276</v>
      </c>
      <c r="F4" s="4">
        <v>0.29210459265442523</v>
      </c>
      <c r="G4" s="4" t="str">
        <f t="shared" si="0"/>
        <v>Not Significant</v>
      </c>
      <c r="H4" s="5">
        <f t="shared" si="1"/>
        <v>2.1396546412222285E-3</v>
      </c>
    </row>
    <row r="5" spans="1:8" x14ac:dyDescent="0.35">
      <c r="A5" s="2" t="s">
        <v>14</v>
      </c>
      <c r="B5" s="6">
        <v>-0.1156285218536906</v>
      </c>
      <c r="C5" s="6">
        <v>-0.1418278262420026</v>
      </c>
      <c r="D5" s="6">
        <v>8.8949399723120479E-2</v>
      </c>
      <c r="E5" s="6">
        <v>1.2999359435096385</v>
      </c>
      <c r="F5" s="7">
        <v>0.19422182127226506</v>
      </c>
      <c r="G5" s="4" t="str">
        <f t="shared" si="0"/>
        <v>Not Significant</v>
      </c>
      <c r="H5" s="5">
        <f t="shared" si="1"/>
        <v>3.649638077878515E-3</v>
      </c>
    </row>
    <row r="6" spans="1:8" x14ac:dyDescent="0.35">
      <c r="A6" s="2" t="s">
        <v>15</v>
      </c>
      <c r="B6" s="3">
        <v>0.33855910256760202</v>
      </c>
      <c r="C6" s="3">
        <v>0.37556977278462472</v>
      </c>
      <c r="D6" s="3">
        <v>0.11432343399095903</v>
      </c>
      <c r="E6" s="3">
        <v>2.9614147401693347</v>
      </c>
      <c r="F6" s="9">
        <v>3.2079111112466308E-3</v>
      </c>
      <c r="G6" s="4" t="str">
        <f t="shared" si="0"/>
        <v>***</v>
      </c>
      <c r="H6" s="5">
        <f t="shared" si="1"/>
        <v>4.6907473146081576E-3</v>
      </c>
    </row>
    <row r="7" spans="1:8" x14ac:dyDescent="0.35">
      <c r="A7" s="2" t="s">
        <v>16</v>
      </c>
      <c r="B7" s="6">
        <v>-3.5001685387628406E-2</v>
      </c>
      <c r="C7" s="6">
        <v>-3.837655174072243E-2</v>
      </c>
      <c r="D7" s="6">
        <v>2.210622276498244E-2</v>
      </c>
      <c r="E7" s="6">
        <v>1.5833408429717417</v>
      </c>
      <c r="F7" s="7">
        <v>0.11397608514761259</v>
      </c>
      <c r="G7" s="4" t="str">
        <f t="shared" si="0"/>
        <v>Not Significant</v>
      </c>
      <c r="H7" s="5">
        <f t="shared" si="1"/>
        <v>9.070293066876519E-4</v>
      </c>
    </row>
    <row r="8" spans="1:8" x14ac:dyDescent="0.35">
      <c r="A8" s="2" t="s">
        <v>17</v>
      </c>
      <c r="B8" s="3">
        <v>0.18104033904253844</v>
      </c>
      <c r="C8" s="3">
        <v>0.19177358724159313</v>
      </c>
      <c r="D8" s="3">
        <v>3.4732419132345892E-2</v>
      </c>
      <c r="E8" s="3">
        <v>5.2124310245334371</v>
      </c>
      <c r="F8" s="9">
        <v>2.7321613060848904E-7</v>
      </c>
      <c r="G8" s="4" t="str">
        <f t="shared" si="0"/>
        <v>***</v>
      </c>
      <c r="H8" s="5">
        <f t="shared" si="1"/>
        <v>1.425088418773186E-3</v>
      </c>
    </row>
    <row r="9" spans="1:8" x14ac:dyDescent="0.35">
      <c r="A9" s="2" t="s">
        <v>18</v>
      </c>
      <c r="B9" s="6">
        <v>0.33180364833074688</v>
      </c>
      <c r="C9" s="6">
        <v>0.37231989936533738</v>
      </c>
      <c r="D9" s="6">
        <v>6.7024418807107938E-2</v>
      </c>
      <c r="E9" s="6">
        <v>4.9504890043978884</v>
      </c>
      <c r="F9" s="8">
        <v>1.0138437005480228E-6</v>
      </c>
      <c r="G9" s="4" t="str">
        <f t="shared" si="0"/>
        <v>***</v>
      </c>
      <c r="H9" s="5">
        <f t="shared" si="1"/>
        <v>2.7500452143300485E-3</v>
      </c>
    </row>
    <row r="11" spans="1:8" x14ac:dyDescent="0.35">
      <c r="A11" s="10" t="s">
        <v>19</v>
      </c>
    </row>
    <row r="12" spans="1:8" x14ac:dyDescent="0.35">
      <c r="A12" s="10" t="s">
        <v>8</v>
      </c>
      <c r="B12">
        <f>(B6*B9)/(SQRT(((B9^2)*(H6^2))+((B6^2)*(H9^2))))</f>
        <v>61.939314385622858</v>
      </c>
      <c r="C12" t="s">
        <v>9</v>
      </c>
      <c r="D12" t="str">
        <f>IF(ABS(B12)&lt;B13,"Gagal Intervernsi","Sukses Intervensi")</f>
        <v>Sukses Intervensi</v>
      </c>
    </row>
    <row r="13" spans="1:8" x14ac:dyDescent="0.35">
      <c r="A13" t="s">
        <v>10</v>
      </c>
      <c r="B13">
        <f>TINV(0.05,(594-8))</f>
        <v>1.9640204610444967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A265-8475-4584-B90D-58F4FFB16515}">
  <dimension ref="A1:H8"/>
  <sheetViews>
    <sheetView tabSelected="1" workbookViewId="0">
      <selection activeCell="B7" sqref="B7"/>
    </sheetView>
  </sheetViews>
  <sheetFormatPr defaultRowHeight="14.5" x14ac:dyDescent="0.35"/>
  <cols>
    <col min="1" max="1" width="14.54296875" bestFit="1" customWidth="1"/>
    <col min="2" max="2" width="17.81640625" bestFit="1" customWidth="1"/>
    <col min="3" max="3" width="15.7265625" bestFit="1" customWidth="1"/>
    <col min="4" max="4" width="25.36328125" bestFit="1" customWidth="1"/>
    <col min="5" max="5" width="21.7265625" bestFit="1" customWidth="1"/>
    <col min="6" max="6" width="8.26953125" bestFit="1" customWidth="1"/>
    <col min="7" max="7" width="13.54296875" bestFit="1" customWidth="1"/>
    <col min="8" max="8" width="12.54296875" bestFit="1" customWidth="1"/>
  </cols>
  <sheetData>
    <row r="1" spans="1:8" x14ac:dyDescent="0.35">
      <c r="A1" s="1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2" t="s">
        <v>14</v>
      </c>
      <c r="B2" s="3">
        <v>-0.1133798786917633</v>
      </c>
      <c r="C2" s="3">
        <v>-0.13321129104031257</v>
      </c>
      <c r="D2" s="3">
        <v>7.2386207066194058E-2</v>
      </c>
      <c r="E2" s="3">
        <v>1.5663188235305976</v>
      </c>
      <c r="F2" s="4">
        <v>0.11790664200924539</v>
      </c>
      <c r="G2" s="4" t="str">
        <f>IF(F2&lt;0.01,"***",IF(F2&lt;0.05,"**",IF(F2&lt;0.1,"*","Not Significant")))</f>
        <v>Not Significant</v>
      </c>
      <c r="H2" s="5">
        <f>D2/SQRT(594)</f>
        <v>2.9700420513721791E-3</v>
      </c>
    </row>
    <row r="3" spans="1:8" x14ac:dyDescent="0.35">
      <c r="A3" s="2" t="s">
        <v>15</v>
      </c>
      <c r="B3" s="6">
        <v>0.33855910256760202</v>
      </c>
      <c r="C3" s="6">
        <v>0.37525837805159512</v>
      </c>
      <c r="D3" s="6">
        <v>0.11624455195656719</v>
      </c>
      <c r="E3" s="6">
        <v>2.912472858892337</v>
      </c>
      <c r="F3" s="8">
        <v>3.7461188398424383E-3</v>
      </c>
      <c r="G3" s="4" t="str">
        <f t="shared" ref="G3:G4" si="0">IF(F3&lt;0.01,"***",IF(F3&lt;0.05,"**",IF(F3&lt;0.1,"*","Not Significant")))</f>
        <v>***</v>
      </c>
      <c r="H3" s="5">
        <f t="shared" ref="H3:H4" si="1">D3/SQRT(594)</f>
        <v>4.7695717395194546E-3</v>
      </c>
    </row>
    <row r="4" spans="1:8" x14ac:dyDescent="0.35">
      <c r="A4" s="2" t="s">
        <v>18</v>
      </c>
      <c r="B4" s="3">
        <v>0.3420310763148971</v>
      </c>
      <c r="C4" s="3">
        <v>0.38126123203908563</v>
      </c>
      <c r="D4" s="3">
        <v>6.6997655516586832E-2</v>
      </c>
      <c r="E4" s="3">
        <v>5.1051200773767276</v>
      </c>
      <c r="F4" s="9">
        <v>4.7072597908481839E-7</v>
      </c>
      <c r="G4" s="4" t="str">
        <f t="shared" si="0"/>
        <v>***</v>
      </c>
      <c r="H4" s="5">
        <f t="shared" si="1"/>
        <v>2.7489471032187966E-3</v>
      </c>
    </row>
    <row r="6" spans="1:8" x14ac:dyDescent="0.35">
      <c r="A6" t="s">
        <v>19</v>
      </c>
    </row>
    <row r="7" spans="1:8" x14ac:dyDescent="0.35">
      <c r="A7" t="s">
        <v>8</v>
      </c>
      <c r="B7">
        <f>(B3*B4)/(SQRT(((B4^2)*(H3^2))+((B3^2)*(H4^2))))</f>
        <v>61.655248034286764</v>
      </c>
      <c r="C7" t="s">
        <v>9</v>
      </c>
      <c r="D7" t="str">
        <f>IF(ABS(B7)&lt;B8,"Gagal Intervernsi","Sukses Intervensi")</f>
        <v>Sukses Intervensi</v>
      </c>
    </row>
    <row r="8" spans="1:8" x14ac:dyDescent="0.35">
      <c r="A8" t="s">
        <v>10</v>
      </c>
      <c r="B8">
        <f>TINV(0.05,(594-3))</f>
        <v>1.9639860731303098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Control Variables</vt:lpstr>
      <vt:lpstr>Without Control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2024-08-13T04:45:29Z</dcterms:created>
  <dcterms:modified xsi:type="dcterms:W3CDTF">2024-08-13T23:17:38Z</dcterms:modified>
</cp:coreProperties>
</file>